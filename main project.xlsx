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A60DE074-CFEA-4A65-A067-8B314BD029A9}" xr6:coauthVersionLast="47" xr6:coauthVersionMax="47" xr10:uidLastSave="{00000000-0000-0000-0000-000000000000}"/>
  <bookViews>
    <workbookView xWindow="-98" yWindow="-98" windowWidth="21795" windowHeight="13875" firstSheet="6" activeTab="10" xr2:uid="{E8A9BAF3-B490-45AD-844B-AE73A45922A6}"/>
  </bookViews>
  <sheets>
    <sheet name="Pivot Tables" sheetId="2" r:id="rId1"/>
    <sheet name="Sales by Region" sheetId="3" r:id="rId2"/>
    <sheet name="Customer Lookup" sheetId="4" r:id="rId3"/>
    <sheet name="Dashboard" sheetId="5" r:id="rId4"/>
    <sheet name="Documentation" sheetId="6" r:id="rId5"/>
    <sheet name="Sales Summary" sheetId="7" r:id="rId6"/>
    <sheet name="Cleaned Data" sheetId="1" r:id="rId7"/>
    <sheet name="Sales Analysis" sheetId="9" r:id="rId8"/>
    <sheet name="Recommendations" sheetId="10" r:id="rId9"/>
    <sheet name="Project Conclusion" sheetId="11" r:id="rId10"/>
    <sheet name="Project Summary" sheetId="12" r:id="rId11"/>
  </sheets>
  <definedNames>
    <definedName name="NativeTimeline_Order_Date">#N/A</definedName>
    <definedName name="Slicer_Region">#N/A</definedName>
  </definedNames>
  <calcPr calcId="191029"/>
  <pivotCaches>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 l="1"/>
  <c r="A4" i="5"/>
  <c r="E4" i="5"/>
  <c r="F5" i="4"/>
  <c r="D4" i="4"/>
  <c r="C4" i="4"/>
  <c r="B4" i="4"/>
</calcChain>
</file>

<file path=xl/sharedStrings.xml><?xml version="1.0" encoding="utf-8"?>
<sst xmlns="http://schemas.openxmlformats.org/spreadsheetml/2006/main" count="1079" uniqueCount="281">
  <si>
    <t>Order ID</t>
  </si>
  <si>
    <t>Order Date</t>
  </si>
  <si>
    <t>Customer ID</t>
  </si>
  <si>
    <t>Customer Name</t>
  </si>
  <si>
    <t>Region</t>
  </si>
  <si>
    <t>Product</t>
  </si>
  <si>
    <t>Category</t>
  </si>
  <si>
    <t>Quantity</t>
  </si>
  <si>
    <t>Unit Price</t>
  </si>
  <si>
    <t>Discount %</t>
  </si>
  <si>
    <t>Sales</t>
  </si>
  <si>
    <t>Cost</t>
  </si>
  <si>
    <t>Profit</t>
  </si>
  <si>
    <t>Payment Method</t>
  </si>
  <si>
    <t>Salesperson</t>
  </si>
  <si>
    <t>ORD060</t>
  </si>
  <si>
    <t>C019</t>
  </si>
  <si>
    <t>Yash Mehta</t>
  </si>
  <si>
    <t>Vadodara</t>
  </si>
  <si>
    <t>Office Chair</t>
  </si>
  <si>
    <t>Furniture</t>
  </si>
  <si>
    <t>Credit Card</t>
  </si>
  <si>
    <t>Neha</t>
  </si>
  <si>
    <t>ORD020</t>
  </si>
  <si>
    <t>C001</t>
  </si>
  <si>
    <t>Aarav Shah</t>
  </si>
  <si>
    <t>Surat</t>
  </si>
  <si>
    <t>Water Bottle</t>
  </si>
  <si>
    <t>Accessories</t>
  </si>
  <si>
    <t>Rohan</t>
  </si>
  <si>
    <t>ORD002</t>
  </si>
  <si>
    <t>C003</t>
  </si>
  <si>
    <t>Vivaan Desai</t>
  </si>
  <si>
    <t>Cash</t>
  </si>
  <si>
    <t>ORD011</t>
  </si>
  <si>
    <t>C008</t>
  </si>
  <si>
    <t>Myra Desai</t>
  </si>
  <si>
    <t>Desk</t>
  </si>
  <si>
    <t>Debit Card</t>
  </si>
  <si>
    <t>ORD084</t>
  </si>
  <si>
    <t>C004</t>
  </si>
  <si>
    <t>Anaya Mehta</t>
  </si>
  <si>
    <t>Net Banking</t>
  </si>
  <si>
    <t>Priya</t>
  </si>
  <si>
    <t>ORD117</t>
  </si>
  <si>
    <t>C017</t>
  </si>
  <si>
    <t>Dev Patel</t>
  </si>
  <si>
    <t>Ahmedabad</t>
  </si>
  <si>
    <t>Karan</t>
  </si>
  <si>
    <t>ORD045</t>
  </si>
  <si>
    <t>C007</t>
  </si>
  <si>
    <t>Advik Patel</t>
  </si>
  <si>
    <t>ORD029</t>
  </si>
  <si>
    <t>C014</t>
  </si>
  <si>
    <t>Aadhya Mehta</t>
  </si>
  <si>
    <t>Pen Pack</t>
  </si>
  <si>
    <t>Stationery</t>
  </si>
  <si>
    <t>Amit</t>
  </si>
  <si>
    <t>ORD037</t>
  </si>
  <si>
    <t>Keyboard</t>
  </si>
  <si>
    <t>Electronics</t>
  </si>
  <si>
    <t>ORD026</t>
  </si>
  <si>
    <t>Mumbai</t>
  </si>
  <si>
    <t>Mouse</t>
  </si>
  <si>
    <t>ORD100</t>
  </si>
  <si>
    <t>UPI</t>
  </si>
  <si>
    <t>ORD047</t>
  </si>
  <si>
    <t>C018</t>
  </si>
  <si>
    <t>Pari Desai</t>
  </si>
  <si>
    <t>Notebook</t>
  </si>
  <si>
    <t>ORD069</t>
  </si>
  <si>
    <t>C016</t>
  </si>
  <si>
    <t>Riya Shah</t>
  </si>
  <si>
    <t>Headphones</t>
  </si>
  <si>
    <t>ORD021</t>
  </si>
  <si>
    <t>Laptop</t>
  </si>
  <si>
    <t>ORD038</t>
  </si>
  <si>
    <t>Rajkot</t>
  </si>
  <si>
    <t>ORD110</t>
  </si>
  <si>
    <t>Printer</t>
  </si>
  <si>
    <t>ORD115</t>
  </si>
  <si>
    <t>C013</t>
  </si>
  <si>
    <t>Dhruv Desai</t>
  </si>
  <si>
    <t>ORD111</t>
  </si>
  <si>
    <t>C011</t>
  </si>
  <si>
    <t>Krish Shah</t>
  </si>
  <si>
    <t>ORD113</t>
  </si>
  <si>
    <t>C006</t>
  </si>
  <si>
    <t>Kiara Shah</t>
  </si>
  <si>
    <t>ORD005</t>
  </si>
  <si>
    <t>C005</t>
  </si>
  <si>
    <t>Reyansh Joshi</t>
  </si>
  <si>
    <t>ORD092</t>
  </si>
  <si>
    <t>ORD098</t>
  </si>
  <si>
    <t>ORD055</t>
  </si>
  <si>
    <t>ORD017</t>
  </si>
  <si>
    <t>ORD107</t>
  </si>
  <si>
    <t>C009</t>
  </si>
  <si>
    <t>Arjun Mehta</t>
  </si>
  <si>
    <t>ORD118</t>
  </si>
  <si>
    <t>ORD097</t>
  </si>
  <si>
    <t>ORD048</t>
  </si>
  <si>
    <t>C012</t>
  </si>
  <si>
    <t>Ira Patel</t>
  </si>
  <si>
    <t>ORD063</t>
  </si>
  <si>
    <t>ORD070</t>
  </si>
  <si>
    <t>ORD080</t>
  </si>
  <si>
    <t>ORD104</t>
  </si>
  <si>
    <t>ORD004</t>
  </si>
  <si>
    <t>C015</t>
  </si>
  <si>
    <t>Kabir Joshi</t>
  </si>
  <si>
    <t>ORD050</t>
  </si>
  <si>
    <t>ORD108</t>
  </si>
  <si>
    <t>ORD032</t>
  </si>
  <si>
    <t>ORD086</t>
  </si>
  <si>
    <t>ORD018</t>
  </si>
  <si>
    <t>ORD089</t>
  </si>
  <si>
    <t>ORD099</t>
  </si>
  <si>
    <t>ORD096</t>
  </si>
  <si>
    <t>ORD003</t>
  </si>
  <si>
    <t>ORD083</t>
  </si>
  <si>
    <t>C010</t>
  </si>
  <si>
    <t>Sara Joshi</t>
  </si>
  <si>
    <t>ORD025</t>
  </si>
  <si>
    <t>ORD014</t>
  </si>
  <si>
    <t>ORD001</t>
  </si>
  <si>
    <t>ORD008</t>
  </si>
  <si>
    <t>C002</t>
  </si>
  <si>
    <t>Diya Patel</t>
  </si>
  <si>
    <t>ORD024</t>
  </si>
  <si>
    <t>ORD101</t>
  </si>
  <si>
    <t>ORD078</t>
  </si>
  <si>
    <t>ORD068</t>
  </si>
  <si>
    <t>ORD051</t>
  </si>
  <si>
    <t>ORD094</t>
  </si>
  <si>
    <t>ORD074</t>
  </si>
  <si>
    <t>C020</t>
  </si>
  <si>
    <t>Navya Joshi</t>
  </si>
  <si>
    <t>ORD044</t>
  </si>
  <si>
    <t>ORD120</t>
  </si>
  <si>
    <t>ORD043</t>
  </si>
  <si>
    <t>ORD058</t>
  </si>
  <si>
    <t>ORD082</t>
  </si>
  <si>
    <t>ORD040</t>
  </si>
  <si>
    <t>ORD077</t>
  </si>
  <si>
    <t>ORD114</t>
  </si>
  <si>
    <t>ORD053</t>
  </si>
  <si>
    <t>ORD054</t>
  </si>
  <si>
    <t>ORD071</t>
  </si>
  <si>
    <t>ORD009</t>
  </si>
  <si>
    <t>ORD007</t>
  </si>
  <si>
    <t>ORD042</t>
  </si>
  <si>
    <t>ORD019</t>
  </si>
  <si>
    <t>ORD102</t>
  </si>
  <si>
    <t>ORD033</t>
  </si>
  <si>
    <t>ORD073</t>
  </si>
  <si>
    <t>ORD119</t>
  </si>
  <si>
    <t>ORD091</t>
  </si>
  <si>
    <t>ORD064</t>
  </si>
  <si>
    <t>ORD059</t>
  </si>
  <si>
    <t>ORD085</t>
  </si>
  <si>
    <t>ORD057</t>
  </si>
  <si>
    <t>ORD061</t>
  </si>
  <si>
    <t>ORD031</t>
  </si>
  <si>
    <t>ORD030</t>
  </si>
  <si>
    <t>ORD105</t>
  </si>
  <si>
    <t>ORD052</t>
  </si>
  <si>
    <t>ORD006</t>
  </si>
  <si>
    <t>ORD010</t>
  </si>
  <si>
    <t>ORD116</t>
  </si>
  <si>
    <t>ORD088</t>
  </si>
  <si>
    <t>ORD016</t>
  </si>
  <si>
    <t>ORD075</t>
  </si>
  <si>
    <t>ORD112</t>
  </si>
  <si>
    <t>ORD062</t>
  </si>
  <si>
    <t>ORD036</t>
  </si>
  <si>
    <t>ORD095</t>
  </si>
  <si>
    <t>ORD041</t>
  </si>
  <si>
    <t>ORD035</t>
  </si>
  <si>
    <t>ORD022</t>
  </si>
  <si>
    <t>ORD093</t>
  </si>
  <si>
    <t>ORD066</t>
  </si>
  <si>
    <t>ORD013</t>
  </si>
  <si>
    <t>ORD056</t>
  </si>
  <si>
    <t>ORD072</t>
  </si>
  <si>
    <t>ORD087</t>
  </si>
  <si>
    <t>ORD067</t>
  </si>
  <si>
    <t>ORD103</t>
  </si>
  <si>
    <t>ORD015</t>
  </si>
  <si>
    <t>ORD046</t>
  </si>
  <si>
    <t>ORD076</t>
  </si>
  <si>
    <t>ORD079</t>
  </si>
  <si>
    <t>ORD012</t>
  </si>
  <si>
    <t>ORD065</t>
  </si>
  <si>
    <t>ORD028</t>
  </si>
  <si>
    <t>ORD034</t>
  </si>
  <si>
    <t>ORD049</t>
  </si>
  <si>
    <t>ORD039</t>
  </si>
  <si>
    <t>ORD109</t>
  </si>
  <si>
    <t>ORD023</t>
  </si>
  <si>
    <t>ORD081</t>
  </si>
  <si>
    <t>ORD090</t>
  </si>
  <si>
    <t>ORD106</t>
  </si>
  <si>
    <t>Unknown</t>
  </si>
  <si>
    <t>Row Labels</t>
  </si>
  <si>
    <t>Grand Total</t>
  </si>
  <si>
    <t>Sum of Sales</t>
  </si>
  <si>
    <t>Sum of Profit</t>
  </si>
  <si>
    <t>Formula Practice</t>
  </si>
  <si>
    <t>Customer Status</t>
  </si>
  <si>
    <t>Sales Dashboard</t>
  </si>
  <si>
    <t>Total Sales</t>
  </si>
  <si>
    <t>Total Profit</t>
  </si>
  <si>
    <t>Sales by Region</t>
  </si>
  <si>
    <t>Profit by Category</t>
  </si>
  <si>
    <t>Project Documentation Section</t>
  </si>
  <si>
    <t>Project Name</t>
  </si>
  <si>
    <t>Dataset Source</t>
  </si>
  <si>
    <t>Data Cleaning</t>
  </si>
  <si>
    <t>Pivot Tables</t>
  </si>
  <si>
    <t>Charts</t>
  </si>
  <si>
    <t>Dashboard</t>
  </si>
  <si>
    <t>Interactive Features</t>
  </si>
  <si>
    <t>Key Findings</t>
  </si>
  <si>
    <t>Conclusion</t>
  </si>
  <si>
    <t>Removed duplicates and checked missing values</t>
  </si>
  <si>
    <t>Sales by Region, Product and Category</t>
  </si>
  <si>
    <t>Sales and Profit Charts</t>
  </si>
  <si>
    <t>KPI Cards and Interactive Dashboard</t>
  </si>
  <si>
    <t>Region Slicer</t>
  </si>
  <si>
    <t>Sales and Profit analysis by region and category</t>
  </si>
  <si>
    <t>Dashboard helps analyze sales performance</t>
  </si>
  <si>
    <t>Sales Dashboard Project</t>
  </si>
  <si>
    <t>Sales Summary</t>
  </si>
  <si>
    <t>Total Orders</t>
  </si>
  <si>
    <t>Average Sales</t>
  </si>
  <si>
    <t>Region-wise Sales</t>
  </si>
  <si>
    <t>Category-wise Sales</t>
  </si>
  <si>
    <t>Product-wise Sales</t>
  </si>
  <si>
    <t>Top Performing Region</t>
  </si>
  <si>
    <t>Top Selling Product</t>
  </si>
  <si>
    <t>Key Insights</t>
  </si>
  <si>
    <t>Sales Analysis</t>
  </si>
  <si>
    <t>Region-wise Sales Analysis</t>
  </si>
  <si>
    <t>Category-wise Sales Analysis</t>
  </si>
  <si>
    <t>Product-wise Sales Analysis</t>
  </si>
  <si>
    <t>Profit Analysis</t>
  </si>
  <si>
    <t>Highest Sales Region</t>
  </si>
  <si>
    <t>Lowest Sales Region</t>
  </si>
  <si>
    <t>Most Profitable Category</t>
  </si>
  <si>
    <t>Business Insights</t>
  </si>
  <si>
    <t>Final Conclusion</t>
  </si>
  <si>
    <t>Recommendations</t>
  </si>
  <si>
    <t>1. Focus on High-Selling Products</t>
  </si>
  <si>
    <t>2. Improve Low-Performing Regions</t>
  </si>
  <si>
    <t>3. Increase Profit Margins</t>
  </si>
  <si>
    <t>4. Focus on Profitable Categories</t>
  </si>
  <si>
    <t>5. Improve Sales Strategies</t>
  </si>
  <si>
    <t>6. Monitor Sales Performance</t>
  </si>
  <si>
    <t>7. Use Data for Better Decisions</t>
  </si>
  <si>
    <t>Final Recommendation</t>
  </si>
  <si>
    <t>Project Conclusion</t>
  </si>
  <si>
    <t>Project Overview</t>
  </si>
  <si>
    <t>Sales Performance Summary</t>
  </si>
  <si>
    <t>Regional Performance</t>
  </si>
  <si>
    <t>Category Performance</t>
  </si>
  <si>
    <t>Profitability Analysis</t>
  </si>
  <si>
    <t>Major Findings</t>
  </si>
  <si>
    <t>Business Impact</t>
  </si>
  <si>
    <t>Future Scope</t>
  </si>
  <si>
    <t>Project Summary</t>
  </si>
  <si>
    <t>Project Title</t>
  </si>
  <si>
    <t>Dataset Information</t>
  </si>
  <si>
    <t>Data Cleaning Process</t>
  </si>
  <si>
    <t>Tools Used</t>
  </si>
  <si>
    <t>Excel Analysis</t>
  </si>
  <si>
    <t>Pivot Tables and Charts</t>
  </si>
  <si>
    <t>Interactive Dashboard</t>
  </si>
  <si>
    <t>Key Results</t>
  </si>
  <si>
    <t>Overall Summary</t>
  </si>
  <si>
    <t>Sample sales dataset created for Excel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</si>
</sst>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26">
    <font>
      <sz val="11"/>
      <color theme="1"/>
      <name val="Calibri"/>
      <family val="2"/>
      <scheme val="minor"/>
    </font>
    <font>
      <b/>
      <sz val="11"/>
      <color rgb="FF000000"/>
      <name val="Calibri"/>
      <family val="2"/>
      <scheme val="minor"/>
    </font>
    <font>
      <sz val="11"/>
      <color rgb="FF000000"/>
      <name val="Calibri"/>
      <family val="2"/>
      <scheme val="minor"/>
    </font>
    <font>
      <sz val="10"/>
      <color theme="1"/>
      <name val="Arial Unicode MS"/>
    </font>
    <font>
      <sz val="11"/>
      <color rgb="FFFF0000"/>
      <name val="Calibri"/>
      <family val="2"/>
      <scheme val="minor"/>
    </font>
    <font>
      <sz val="12"/>
      <color theme="1"/>
      <name val="Calibri"/>
      <family val="2"/>
      <scheme val="minor"/>
    </font>
    <font>
      <b/>
      <sz val="12"/>
      <color theme="1"/>
      <name val="Calibri"/>
      <family val="2"/>
      <scheme val="minor"/>
    </font>
    <font>
      <sz val="12"/>
      <color rgb="FF00B0F0"/>
      <name val="Calibri"/>
      <family val="2"/>
      <scheme val="minor"/>
    </font>
    <font>
      <sz val="16"/>
      <color theme="1"/>
      <name val="Calibri"/>
      <family val="2"/>
      <scheme val="minor"/>
    </font>
    <font>
      <sz val="18"/>
      <color theme="1"/>
      <name val="Calibri"/>
      <family val="2"/>
      <scheme val="minor"/>
    </font>
    <font>
      <sz val="11"/>
      <color theme="9" tint="-0.499984740745262"/>
      <name val="Calibri"/>
      <family val="2"/>
      <scheme val="minor"/>
    </font>
    <font>
      <sz val="11"/>
      <color theme="1"/>
      <name val="Algerian"/>
      <family val="5"/>
    </font>
    <font>
      <sz val="18"/>
      <color theme="5" tint="-0.249977111117893"/>
      <name val="Calibri"/>
      <family val="2"/>
      <scheme val="minor"/>
    </font>
    <font>
      <sz val="14"/>
      <color theme="1"/>
      <name val="Algerian"/>
      <family val="5"/>
    </font>
    <font>
      <sz val="18"/>
      <color theme="1"/>
      <name val="Algerian"/>
      <family val="5"/>
    </font>
    <font>
      <sz val="18"/>
      <color theme="5" tint="-0.249977111117893"/>
      <name val="Algerian"/>
      <family val="5"/>
    </font>
    <font>
      <sz val="18"/>
      <color theme="3" tint="-0.499984740745262"/>
      <name val="Algerian"/>
      <family val="5"/>
    </font>
    <font>
      <sz val="11"/>
      <color theme="3" tint="-0.499984740745262"/>
      <name val="Calibri"/>
      <family val="2"/>
      <scheme val="minor"/>
    </font>
    <font>
      <sz val="20"/>
      <color theme="1"/>
      <name val="Calibri"/>
      <family val="2"/>
      <scheme val="minor"/>
    </font>
    <font>
      <sz val="16"/>
      <color rgb="FF00B050"/>
      <name val="Calibri"/>
      <family val="2"/>
      <scheme val="minor"/>
    </font>
    <font>
      <sz val="20"/>
      <color rgb="FFFF0000"/>
      <name val="Algerian"/>
      <family val="5"/>
    </font>
    <font>
      <sz val="11"/>
      <color rgb="FFFF0000"/>
      <name val="Algerian"/>
      <family val="5"/>
    </font>
    <font>
      <sz val="14"/>
      <color theme="1"/>
      <name val="Calibri"/>
      <family val="2"/>
      <scheme val="minor"/>
    </font>
    <font>
      <sz val="16"/>
      <color theme="1"/>
      <name val="Algerian"/>
      <family val="5"/>
    </font>
    <font>
      <sz val="18"/>
      <color theme="5" tint="0.59999389629810485"/>
      <name val="Calibri"/>
      <family val="2"/>
      <scheme val="minor"/>
    </font>
    <font>
      <sz val="11"/>
      <color theme="5" tint="0.59999389629810485"/>
      <name val="Calibri"/>
      <family val="2"/>
      <scheme val="minor"/>
    </font>
  </fonts>
  <fills count="6">
    <fill>
      <patternFill patternType="none"/>
    </fill>
    <fill>
      <patternFill patternType="gray125"/>
    </fill>
    <fill>
      <patternFill patternType="solid">
        <fgColor theme="6" tint="-0.249977111117893"/>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1" fillId="0" borderId="0" xfId="0" applyFont="1" applyAlignment="1">
      <alignment horizontal="center" vertical="top"/>
    </xf>
    <xf numFmtId="0" fontId="2" fillId="0" borderId="0" xfId="0" applyFont="1" applyAlignment="1">
      <alignment horizontal="center"/>
    </xf>
    <xf numFmtId="164"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0" fontId="3" fillId="0" borderId="0" xfId="0" applyFont="1"/>
    <xf numFmtId="0" fontId="0" fillId="0" borderId="0" xfId="0" applyAlignment="1">
      <alignment horizontal="left" vertical="center" indent="1"/>
    </xf>
    <xf numFmtId="0" fontId="5" fillId="0" borderId="0" xfId="0" applyFont="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0" fontId="9" fillId="0" borderId="0" xfId="0" applyFont="1"/>
    <xf numFmtId="0" fontId="0" fillId="0" borderId="0" xfId="0" applyFont="1" applyAlignment="1">
      <alignment horizontal="left" indent="52"/>
    </xf>
    <xf numFmtId="0" fontId="0" fillId="0" borderId="0" xfId="0" applyFont="1"/>
    <xf numFmtId="0" fontId="0" fillId="3" borderId="0" xfId="0" applyFill="1" applyAlignment="1">
      <alignment horizontal="left" indent="17"/>
    </xf>
    <xf numFmtId="0" fontId="10" fillId="3" borderId="0" xfId="0" applyFont="1" applyFill="1" applyAlignment="1">
      <alignment horizontal="left" indent="25"/>
    </xf>
    <xf numFmtId="0" fontId="10" fillId="3" borderId="0" xfId="0" applyFont="1" applyFill="1" applyAlignment="1">
      <alignment horizontal="left" indent="8"/>
    </xf>
    <xf numFmtId="0" fontId="10" fillId="3" borderId="0" xfId="0" applyFont="1" applyFill="1" applyAlignment="1">
      <alignment horizontal="left" indent="60"/>
    </xf>
    <xf numFmtId="0" fontId="0" fillId="3" borderId="0" xfId="0" applyFill="1" applyAlignment="1">
      <alignment horizontal="left" indent="52"/>
    </xf>
    <xf numFmtId="0" fontId="0" fillId="3" borderId="0" xfId="0" applyFont="1" applyFill="1" applyAlignment="1">
      <alignment horizontal="left" indent="3"/>
    </xf>
    <xf numFmtId="0" fontId="8" fillId="4" borderId="0" xfId="0" applyFont="1" applyFill="1"/>
    <xf numFmtId="0" fontId="0" fillId="4" borderId="0" xfId="0" applyFill="1"/>
    <xf numFmtId="0" fontId="11" fillId="0" borderId="0" xfId="0" applyFont="1"/>
    <xf numFmtId="0" fontId="11" fillId="0" borderId="1" xfId="0" applyFont="1" applyBorder="1"/>
    <xf numFmtId="0" fontId="0" fillId="0" borderId="1" xfId="0" applyBorder="1"/>
    <xf numFmtId="0" fontId="12" fillId="0" borderId="1" xfId="0" applyFont="1" applyBorder="1"/>
    <xf numFmtId="0" fontId="13" fillId="0" borderId="2" xfId="0" applyFont="1" applyBorder="1"/>
    <xf numFmtId="0" fontId="13" fillId="0" borderId="3" xfId="0" applyFont="1" applyBorder="1"/>
    <xf numFmtId="0" fontId="13" fillId="0" borderId="4" xfId="0" applyFont="1" applyBorder="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5" borderId="5" xfId="0" applyFont="1" applyFill="1" applyBorder="1" applyAlignment="1">
      <alignment horizontal="left" vertical="center" indent="1"/>
    </xf>
    <xf numFmtId="0" fontId="19" fillId="5" borderId="6" xfId="0" applyFont="1" applyFill="1" applyBorder="1"/>
    <xf numFmtId="0" fontId="19" fillId="5" borderId="7" xfId="0" applyFont="1" applyFill="1" applyBorder="1"/>
    <xf numFmtId="0" fontId="19" fillId="5" borderId="8" xfId="0" applyFont="1" applyFill="1" applyBorder="1" applyAlignment="1">
      <alignment horizontal="left" vertical="center" indent="1"/>
    </xf>
    <xf numFmtId="0" fontId="19" fillId="5" borderId="0" xfId="0" applyFont="1" applyFill="1" applyBorder="1"/>
    <xf numFmtId="0" fontId="19" fillId="5" borderId="9" xfId="0" applyFont="1" applyFill="1" applyBorder="1"/>
    <xf numFmtId="0" fontId="19" fillId="5" borderId="10" xfId="0" applyFont="1" applyFill="1" applyBorder="1" applyAlignment="1">
      <alignment horizontal="left" vertical="center" indent="1"/>
    </xf>
    <xf numFmtId="0" fontId="19" fillId="5" borderId="11" xfId="0" applyFont="1" applyFill="1" applyBorder="1"/>
    <xf numFmtId="0" fontId="19" fillId="5" borderId="12" xfId="0" applyFont="1" applyFill="1" applyBorder="1"/>
    <xf numFmtId="0" fontId="20" fillId="0" borderId="0" xfId="0" applyFont="1"/>
    <xf numFmtId="0" fontId="4" fillId="0" borderId="0" xfId="0" applyFont="1"/>
    <xf numFmtId="0" fontId="21" fillId="0" borderId="0" xfId="0" applyFont="1"/>
    <xf numFmtId="0" fontId="22" fillId="0" borderId="0" xfId="0" applyFont="1"/>
    <xf numFmtId="0" fontId="13" fillId="0" borderId="1" xfId="0" applyFont="1" applyBorder="1"/>
    <xf numFmtId="0" fontId="13" fillId="0" borderId="1" xfId="0" pivotButton="1" applyFont="1" applyBorder="1"/>
    <xf numFmtId="0" fontId="13" fillId="0" borderId="1" xfId="0" applyFont="1" applyBorder="1" applyAlignment="1">
      <alignment horizontal="left"/>
    </xf>
    <xf numFmtId="165" fontId="13" fillId="0" borderId="1" xfId="0" applyNumberFormat="1" applyFont="1" applyBorder="1"/>
    <xf numFmtId="0" fontId="23" fillId="0" borderId="0" xfId="0" applyFont="1"/>
    <xf numFmtId="0" fontId="23" fillId="0" borderId="1" xfId="0" applyFont="1" applyBorder="1"/>
    <xf numFmtId="0" fontId="23" fillId="0" borderId="1" xfId="0" pivotButton="1" applyFont="1" applyBorder="1"/>
    <xf numFmtId="0" fontId="23" fillId="0" borderId="1" xfId="0" applyFont="1" applyBorder="1" applyAlignment="1">
      <alignment horizontal="left"/>
    </xf>
    <xf numFmtId="165" fontId="23" fillId="0" borderId="1" xfId="0" applyNumberFormat="1" applyFont="1" applyBorder="1"/>
    <xf numFmtId="0" fontId="24" fillId="0" borderId="0" xfId="0" applyFont="1" applyAlignment="1">
      <alignment horizontal="left" indent="9"/>
    </xf>
    <xf numFmtId="0" fontId="24" fillId="0" borderId="0" xfId="0" applyFont="1" applyAlignment="1">
      <alignment horizontal="center"/>
    </xf>
    <xf numFmtId="0" fontId="24" fillId="2" borderId="1" xfId="0" applyFont="1" applyFill="1" applyBorder="1" applyAlignment="1">
      <alignment horizontal="center"/>
    </xf>
    <xf numFmtId="0" fontId="25" fillId="2" borderId="1" xfId="0" applyFont="1" applyFill="1" applyBorder="1" applyAlignment="1">
      <alignment horizontal="center"/>
    </xf>
  </cellXfs>
  <cellStyles count="1">
    <cellStyle name="Normal" xfId="0" builtinId="0"/>
  </cellStyles>
  <dxfs count="9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6"/>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dd\-m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project.xlsx]Sales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Region'!$A$4:$A$10</c:f>
              <c:strCache>
                <c:ptCount val="6"/>
                <c:pt idx="0">
                  <c:v>Ahmedabad</c:v>
                </c:pt>
                <c:pt idx="1">
                  <c:v>Mumbai</c:v>
                </c:pt>
                <c:pt idx="2">
                  <c:v>Rajkot</c:v>
                </c:pt>
                <c:pt idx="3">
                  <c:v>Surat</c:v>
                </c:pt>
                <c:pt idx="4">
                  <c:v>Unknown</c:v>
                </c:pt>
                <c:pt idx="5">
                  <c:v>Vadodara</c:v>
                </c:pt>
              </c:strCache>
            </c:strRef>
          </c:cat>
          <c:val>
            <c:numRef>
              <c:f>'Sales by Region'!$B$4:$B$10</c:f>
              <c:numCache>
                <c:formatCode>\₹#,##0.00</c:formatCode>
                <c:ptCount val="6"/>
                <c:pt idx="0">
                  <c:v>760844.5</c:v>
                </c:pt>
                <c:pt idx="1">
                  <c:v>428073.5</c:v>
                </c:pt>
                <c:pt idx="2">
                  <c:v>804316.5</c:v>
                </c:pt>
                <c:pt idx="3">
                  <c:v>824424</c:v>
                </c:pt>
                <c:pt idx="4">
                  <c:v>120</c:v>
                </c:pt>
                <c:pt idx="5">
                  <c:v>650176</c:v>
                </c:pt>
              </c:numCache>
            </c:numRef>
          </c:val>
          <c:extLst>
            <c:ext xmlns:c16="http://schemas.microsoft.com/office/drawing/2014/chart" uri="{C3380CC4-5D6E-409C-BE32-E72D297353CC}">
              <c16:uniqueId val="{00000000-0816-4D05-AEA9-01D4520DBF4B}"/>
            </c:ext>
          </c:extLst>
        </c:ser>
        <c:dLbls>
          <c:showLegendKey val="0"/>
          <c:showVal val="0"/>
          <c:showCatName val="0"/>
          <c:showSerName val="0"/>
          <c:showPercent val="0"/>
          <c:showBubbleSize val="0"/>
        </c:dLbls>
        <c:gapWidth val="219"/>
        <c:overlap val="-27"/>
        <c:axId val="1665703056"/>
        <c:axId val="1665704976"/>
      </c:barChart>
      <c:catAx>
        <c:axId val="16657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04976"/>
        <c:crosses val="autoZero"/>
        <c:auto val="1"/>
        <c:lblAlgn val="ctr"/>
        <c:lblOffset val="100"/>
        <c:noMultiLvlLbl val="0"/>
      </c:catAx>
      <c:valAx>
        <c:axId val="166570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0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Category</a:t>
            </a:r>
            <a:endParaRPr lang="en-US"/>
          </a:p>
        </c:rich>
      </c:tx>
      <c:layout>
        <c:manualLayout>
          <c:xMode val="edge"/>
          <c:yMode val="edge"/>
          <c:x val="0.56845581802274714"/>
          <c:y val="6.573416801953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cat>
            <c:strRef>
              <c:f>'Pivot Tables'!$A$13:$A$17</c:f>
              <c:strCache>
                <c:ptCount val="4"/>
                <c:pt idx="0">
                  <c:v>Accessories</c:v>
                </c:pt>
                <c:pt idx="1">
                  <c:v>Electronics</c:v>
                </c:pt>
                <c:pt idx="2">
                  <c:v>Furniture</c:v>
                </c:pt>
                <c:pt idx="3">
                  <c:v>Stationery</c:v>
                </c:pt>
              </c:strCache>
            </c:strRef>
          </c:cat>
          <c:val>
            <c:numRef>
              <c:f>'Pivot Tables'!$B$13:$B$17</c:f>
              <c:numCache>
                <c:formatCode>\₹#,##0.00</c:formatCode>
                <c:ptCount val="4"/>
                <c:pt idx="0">
                  <c:v>18620</c:v>
                </c:pt>
                <c:pt idx="1">
                  <c:v>516037.5</c:v>
                </c:pt>
                <c:pt idx="2">
                  <c:v>168125</c:v>
                </c:pt>
                <c:pt idx="3">
                  <c:v>3937</c:v>
                </c:pt>
              </c:numCache>
            </c:numRef>
          </c:val>
          <c:extLst>
            <c:ext xmlns:c16="http://schemas.microsoft.com/office/drawing/2014/chart" uri="{C3380CC4-5D6E-409C-BE32-E72D297353CC}">
              <c16:uniqueId val="{00000000-1007-402C-8F62-7E6CA02D5BC7}"/>
            </c:ext>
          </c:extLst>
        </c:ser>
        <c:dLbls>
          <c:showLegendKey val="0"/>
          <c:showVal val="0"/>
          <c:showCatName val="0"/>
          <c:showSerName val="0"/>
          <c:showPercent val="0"/>
          <c:showBubbleSize val="0"/>
        </c:dLbls>
        <c:gapWidth val="219"/>
        <c:overlap val="-27"/>
        <c:axId val="203618496"/>
        <c:axId val="1969062464"/>
      </c:barChart>
      <c:catAx>
        <c:axId val="2036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62464"/>
        <c:crosses val="autoZero"/>
        <c:auto val="1"/>
        <c:lblAlgn val="ctr"/>
        <c:lblOffset val="100"/>
        <c:noMultiLvlLbl val="0"/>
      </c:catAx>
      <c:valAx>
        <c:axId val="1969062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38100</xdr:colOff>
      <xdr:row>22</xdr:row>
      <xdr:rowOff>28575</xdr:rowOff>
    </xdr:to>
    <xdr:graphicFrame macro="">
      <xdr:nvGraphicFramePr>
        <xdr:cNvPr id="2" name="Chart 1">
          <a:extLst>
            <a:ext uri="{FF2B5EF4-FFF2-40B4-BE49-F238E27FC236}">
              <a16:creationId xmlns:a16="http://schemas.microsoft.com/office/drawing/2014/main" id="{BE1EA6DB-7AE3-42F3-AF45-3CFA91C2F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395288</xdr:colOff>
      <xdr:row>7</xdr:row>
      <xdr:rowOff>23812</xdr:rowOff>
    </xdr:from>
    <xdr:to>
      <xdr:col>14</xdr:col>
      <xdr:colOff>395288</xdr:colOff>
      <xdr:row>21</xdr:row>
      <xdr:rowOff>152400</xdr:rowOff>
    </xdr:to>
    <xdr:graphicFrame macro="">
      <xdr:nvGraphicFramePr>
        <xdr:cNvPr id="3" name="Chart 2">
          <a:extLst>
            <a:ext uri="{FF2B5EF4-FFF2-40B4-BE49-F238E27FC236}">
              <a16:creationId xmlns:a16="http://schemas.microsoft.com/office/drawing/2014/main" id="{C5EE6907-E1C2-4F1A-8300-7ACE78AF1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361950</xdr:colOff>
      <xdr:row>3</xdr:row>
      <xdr:rowOff>76200</xdr:rowOff>
    </xdr:from>
    <xdr:to>
      <xdr:col>18</xdr:col>
      <xdr:colOff>247650</xdr:colOff>
      <xdr:row>17</xdr:row>
      <xdr:rowOff>66675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2A0B7D5-D03C-4416-3A52-9B3B2FA8B3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4763" y="819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1162049</xdr:colOff>
      <xdr:row>22</xdr:row>
      <xdr:rowOff>114300</xdr:rowOff>
    </xdr:from>
    <xdr:to>
      <xdr:col>9</xdr:col>
      <xdr:colOff>628649</xdr:colOff>
      <xdr:row>30</xdr:row>
      <xdr:rowOff>38100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40BE7380-05E3-6F71-8172-612E3773BC4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81512" y="42957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Jodhani" refreshedDate="46311.352528935182" createdVersion="8" refreshedVersion="8" minRefreshableVersion="3" recordCount="119" xr:uid="{2FC7866C-C3F1-4502-8367-B979FA849E40}">
  <cacheSource type="worksheet">
    <worksheetSource ref="A1:O120" sheet="Cleaned Data"/>
  </cacheSource>
  <cacheFields count="15">
    <cacheField name="Order ID" numFmtId="0">
      <sharedItems/>
    </cacheField>
    <cacheField name="Order Date" numFmtId="164">
      <sharedItems containsSemiMixedTypes="0" containsNonDate="0" containsDate="1" containsString="0" minDate="2025-01-01T00:00:00" maxDate="2025-12-27T00:00:00" count="102">
        <d v="2025-01-01T00:00:00"/>
        <d v="2025-01-10T00:00:00"/>
        <d v="2025-01-16T00:00:00"/>
        <d v="2025-01-17T00:00:00"/>
        <d v="2025-01-22T00:00:00"/>
        <d v="2025-01-27T00:00:00"/>
        <d v="2025-02-01T00:00:00"/>
        <d v="2025-02-04T00:00:00"/>
        <d v="2025-02-06T00:00:00"/>
        <d v="2025-02-07T00:00:00"/>
        <d v="2025-02-08T00:00:00"/>
        <d v="2025-02-09T00:00:00"/>
        <d v="2025-02-10T00:00:00"/>
        <d v="2025-02-11T00:00:00"/>
        <d v="2025-02-15T00:00:00"/>
        <d v="2025-02-16T00:00:00"/>
        <d v="2025-02-17T00:00:00"/>
        <d v="2025-02-22T00:00:00"/>
        <d v="2025-02-25T00:00:00"/>
        <d v="2025-02-27T00:00:00"/>
        <d v="2025-02-28T00:00:00"/>
        <d v="2025-03-04T00:00:00"/>
        <d v="2025-03-06T00:00:00"/>
        <d v="2025-03-07T00:00:00"/>
        <d v="2025-03-17T00:00:00"/>
        <d v="2025-03-19T00:00:00"/>
        <d v="2025-03-20T00:00:00"/>
        <d v="2025-03-22T00:00:00"/>
        <d v="2025-03-23T00:00:00"/>
        <d v="2025-03-25T00:00:00"/>
        <d v="2025-03-26T00:00:00"/>
        <d v="2025-03-27T00:00:00"/>
        <d v="2025-04-01T00:00:00"/>
        <d v="2025-04-02T00:00:00"/>
        <d v="2025-04-04T00:00:00"/>
        <d v="2025-04-05T00:00:00"/>
        <d v="2025-04-10T00:00:00"/>
        <d v="2025-04-12T00:00:00"/>
        <d v="2025-04-23T00:00:00"/>
        <d v="2025-04-25T00:00:00"/>
        <d v="2025-04-30T00:00:00"/>
        <d v="2025-05-07T00:00:00"/>
        <d v="2025-05-08T00:00:00"/>
        <d v="2025-05-10T00:00:00"/>
        <d v="2025-05-13T00:00:00"/>
        <d v="2025-05-17T00:00:00"/>
        <d v="2025-05-19T00:00:00"/>
        <d v="2025-05-20T00:00:00"/>
        <d v="2025-05-25T00:00:00"/>
        <d v="2025-05-30T00:00:00"/>
        <d v="2025-06-03T00:00:00"/>
        <d v="2025-06-08T00:00:00"/>
        <d v="2025-06-09T00:00:00"/>
        <d v="2025-06-11T00:00:00"/>
        <d v="2025-06-17T00:00:00"/>
        <d v="2025-06-18T00:00:00"/>
        <d v="2025-06-19T00:00:00"/>
        <d v="2025-07-01T00:00:00"/>
        <d v="2025-07-05T00:00:00"/>
        <d v="2025-07-09T00:00:00"/>
        <d v="2025-07-11T00:00:00"/>
        <d v="2025-07-14T00:00:00"/>
        <d v="2025-07-19T00:00:00"/>
        <d v="2025-07-28T00:00:00"/>
        <d v="2025-08-01T00:00:00"/>
        <d v="2025-08-04T00:00:00"/>
        <d v="2025-08-09T00:00:00"/>
        <d v="2025-08-15T00:00:00"/>
        <d v="2025-08-18T00:00:00"/>
        <d v="2025-08-19T00:00:00"/>
        <d v="2025-08-24T00:00:00"/>
        <d v="2025-08-25T00:00:00"/>
        <d v="2025-08-26T00:00:00"/>
        <d v="2025-08-28T00:00:00"/>
        <d v="2025-08-29T00:00:00"/>
        <d v="2025-09-21T00:00:00"/>
        <d v="2025-09-29T00:00:00"/>
        <d v="2025-10-02T00:00:00"/>
        <d v="2025-10-03T00:00:00"/>
        <d v="2025-10-05T00:00:00"/>
        <d v="2025-10-09T00:00:00"/>
        <d v="2025-10-11T00:00:00"/>
        <d v="2025-10-13T00:00:00"/>
        <d v="2025-10-15T00:00:00"/>
        <d v="2025-10-23T00:00:00"/>
        <d v="2025-10-27T00:00:00"/>
        <d v="2025-10-31T00:00:00"/>
        <d v="2025-11-10T00:00:00"/>
        <d v="2025-11-14T00:00:00"/>
        <d v="2025-11-18T00:00:00"/>
        <d v="2025-11-23T00:00:00"/>
        <d v="2025-11-26T00:00:00"/>
        <d v="2025-11-29T00:00:00"/>
        <d v="2025-12-02T00:00:00"/>
        <d v="2025-12-04T00:00:00"/>
        <d v="2025-12-05T00:00:00"/>
        <d v="2025-12-08T00:00:00"/>
        <d v="2025-12-09T00:00:00"/>
        <d v="2025-12-19T00:00:00"/>
        <d v="2025-12-20T00:00:00"/>
        <d v="2025-12-25T00:00:00"/>
        <d v="2025-12-26T00:00:00"/>
      </sharedItems>
    </cacheField>
    <cacheField name="Customer ID" numFmtId="0">
      <sharedItems/>
    </cacheField>
    <cacheField name="Customer Name" numFmtId="0">
      <sharedItems/>
    </cacheField>
    <cacheField name="Region" numFmtId="0">
      <sharedItems count="6">
        <s v="Vadodara"/>
        <s v="Surat"/>
        <s v="Ahmedabad"/>
        <s v="Unknown"/>
        <s v="Mumbai"/>
        <s v="Rajkot"/>
      </sharedItems>
    </cacheField>
    <cacheField name="Product" numFmtId="0">
      <sharedItems count="10">
        <s v="Office Chair"/>
        <s v="Water Bottle"/>
        <s v="Desk"/>
        <s v="Pen Pack"/>
        <s v="Keyboard"/>
        <s v="Mouse"/>
        <s v="Notebook"/>
        <s v="Headphones"/>
        <s v="Laptop"/>
        <s v="Printer"/>
      </sharedItems>
    </cacheField>
    <cacheField name="Category" numFmtId="0">
      <sharedItems count="4">
        <s v="Furniture"/>
        <s v="Accessories"/>
        <s v="Stationery"/>
        <s v="Electronics"/>
      </sharedItems>
    </cacheField>
    <cacheField name="Quantity" numFmtId="0">
      <sharedItems containsSemiMixedTypes="0" containsString="0" containsNumber="1" containsInteger="1" minValue="1" maxValue="8"/>
    </cacheField>
    <cacheField name="Unit Price" numFmtId="165">
      <sharedItems containsSemiMixedTypes="0" containsString="0" containsNumber="1" containsInteger="1" minValue="80" maxValue="45000"/>
    </cacheField>
    <cacheField name="Discount %" numFmtId="9">
      <sharedItems containsSemiMixedTypes="0" containsString="0" containsNumber="1" minValue="0" maxValue="0.2"/>
    </cacheField>
    <cacheField name="Sales" numFmtId="165">
      <sharedItems containsSemiMixedTypes="0" containsString="0" containsNumber="1" minValue="64" maxValue="324000"/>
    </cacheField>
    <cacheField name="Cost" numFmtId="165">
      <sharedItems containsSemiMixedTypes="0" containsString="0" containsNumber="1" containsInteger="1" minValue="35" maxValue="264000"/>
    </cacheField>
    <cacheField name="Profit" numFmtId="165">
      <sharedItems containsSemiMixedTypes="0" containsString="0" containsNumber="1" minValue="29" maxValue="60000"/>
    </cacheField>
    <cacheField name="Payment Method" numFmtId="0">
      <sharedItems/>
    </cacheField>
    <cacheField name="Salesperson" numFmtId="0">
      <sharedItems/>
    </cacheField>
  </cacheFields>
  <extLst>
    <ext xmlns:x14="http://schemas.microsoft.com/office/spreadsheetml/2009/9/main" uri="{725AE2AE-9491-48be-B2B4-4EB974FC3084}">
      <x14:pivotCacheDefinition pivotCacheId="43856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ORD060"/>
    <x v="0"/>
    <s v="C019"/>
    <s v="Yash Mehta"/>
    <x v="0"/>
    <x v="0"/>
    <x v="0"/>
    <n v="7"/>
    <n v="5500"/>
    <n v="0.2"/>
    <n v="30800"/>
    <n v="25200"/>
    <n v="5600"/>
    <s v="Credit Card"/>
    <s v="Neha"/>
  </r>
  <r>
    <s v="ORD020"/>
    <x v="1"/>
    <s v="C001"/>
    <s v="Aarav Shah"/>
    <x v="1"/>
    <x v="1"/>
    <x v="1"/>
    <n v="6"/>
    <n v="350"/>
    <n v="0.15"/>
    <n v="1785"/>
    <n v="840"/>
    <n v="945"/>
    <s v="Credit Card"/>
    <s v="Rohan"/>
  </r>
  <r>
    <s v="ORD002"/>
    <x v="2"/>
    <s v="C003"/>
    <s v="Vivaan Desai"/>
    <x v="1"/>
    <x v="1"/>
    <x v="1"/>
    <n v="7"/>
    <n v="350"/>
    <n v="0"/>
    <n v="2450"/>
    <n v="980"/>
    <n v="1470"/>
    <s v="Cash"/>
    <s v="Neha"/>
  </r>
  <r>
    <s v="ORD011"/>
    <x v="3"/>
    <s v="C008"/>
    <s v="Myra Desai"/>
    <x v="0"/>
    <x v="2"/>
    <x v="0"/>
    <n v="1"/>
    <n v="8500"/>
    <n v="0.05"/>
    <n v="8075"/>
    <n v="6000"/>
    <n v="2075"/>
    <s v="Debit Card"/>
    <s v="Rohan"/>
  </r>
  <r>
    <s v="ORD084"/>
    <x v="4"/>
    <s v="C004"/>
    <s v="Anaya Mehta"/>
    <x v="0"/>
    <x v="0"/>
    <x v="0"/>
    <n v="2"/>
    <n v="5500"/>
    <n v="0.2"/>
    <n v="8800"/>
    <n v="7200"/>
    <n v="1600"/>
    <s v="Net Banking"/>
    <s v="Priya"/>
  </r>
  <r>
    <s v="ORD117"/>
    <x v="5"/>
    <s v="C017"/>
    <s v="Dev Patel"/>
    <x v="2"/>
    <x v="2"/>
    <x v="0"/>
    <n v="8"/>
    <n v="8500"/>
    <n v="0.15"/>
    <n v="57800"/>
    <n v="48000"/>
    <n v="9800"/>
    <s v="Credit Card"/>
    <s v="Karan"/>
  </r>
  <r>
    <s v="ORD045"/>
    <x v="5"/>
    <s v="C007"/>
    <s v="Advik Patel"/>
    <x v="1"/>
    <x v="0"/>
    <x v="0"/>
    <n v="8"/>
    <n v="5500"/>
    <n v="0.1"/>
    <n v="39600"/>
    <n v="28800"/>
    <n v="10800"/>
    <s v="Debit Card"/>
    <s v="Rohan"/>
  </r>
  <r>
    <s v="ORD029"/>
    <x v="6"/>
    <s v="C014"/>
    <s v="Aadhya Mehta"/>
    <x v="3"/>
    <x v="3"/>
    <x v="2"/>
    <n v="1"/>
    <n v="120"/>
    <n v="0"/>
    <n v="120"/>
    <n v="55"/>
    <n v="65"/>
    <s v="Credit Card"/>
    <s v="Amit"/>
  </r>
  <r>
    <s v="ORD037"/>
    <x v="7"/>
    <s v="C003"/>
    <s v="Vivaan Desai"/>
    <x v="2"/>
    <x v="4"/>
    <x v="3"/>
    <n v="2"/>
    <n v="1200"/>
    <n v="0.2"/>
    <n v="1920"/>
    <n v="1300"/>
    <n v="620"/>
    <s v="Debit Card"/>
    <s v="Amit"/>
  </r>
  <r>
    <s v="ORD026"/>
    <x v="8"/>
    <s v="C008"/>
    <s v="Myra Desai"/>
    <x v="4"/>
    <x v="5"/>
    <x v="3"/>
    <n v="1"/>
    <n v="650"/>
    <n v="0.1"/>
    <n v="585"/>
    <n v="300"/>
    <n v="285"/>
    <s v="Cash"/>
    <s v="Rohan"/>
  </r>
  <r>
    <s v="ORD100"/>
    <x v="9"/>
    <s v="C004"/>
    <s v="Anaya Mehta"/>
    <x v="4"/>
    <x v="5"/>
    <x v="3"/>
    <n v="7"/>
    <n v="650"/>
    <n v="0.15"/>
    <n v="3867.5"/>
    <n v="2100"/>
    <n v="1767.5"/>
    <s v="UPI"/>
    <s v="Neha"/>
  </r>
  <r>
    <s v="ORD047"/>
    <x v="10"/>
    <s v="C018"/>
    <s v="Pari Desai"/>
    <x v="2"/>
    <x v="6"/>
    <x v="2"/>
    <n v="1"/>
    <n v="80"/>
    <n v="0"/>
    <n v="80"/>
    <n v="35"/>
    <n v="45"/>
    <s v="Net Banking"/>
    <s v="Amit"/>
  </r>
  <r>
    <s v="ORD069"/>
    <x v="11"/>
    <s v="C016"/>
    <s v="Riya Shah"/>
    <x v="0"/>
    <x v="7"/>
    <x v="3"/>
    <n v="5"/>
    <n v="1800"/>
    <n v="0.15"/>
    <n v="7650"/>
    <n v="4750"/>
    <n v="2900"/>
    <s v="Cash"/>
    <s v="Rohan"/>
  </r>
  <r>
    <s v="ORD021"/>
    <x v="12"/>
    <s v="C008"/>
    <s v="Myra Desai"/>
    <x v="1"/>
    <x v="8"/>
    <x v="3"/>
    <n v="4"/>
    <n v="45000"/>
    <n v="0.2"/>
    <n v="144000"/>
    <n v="132000"/>
    <n v="12000"/>
    <s v="Debit Card"/>
    <s v="Amit"/>
  </r>
  <r>
    <s v="ORD038"/>
    <x v="13"/>
    <s v="C019"/>
    <s v="Yash Mehta"/>
    <x v="5"/>
    <x v="7"/>
    <x v="3"/>
    <n v="1"/>
    <n v="1800"/>
    <n v="0.2"/>
    <n v="1440"/>
    <n v="950"/>
    <n v="490"/>
    <s v="Net Banking"/>
    <s v="Karan"/>
  </r>
  <r>
    <s v="ORD110"/>
    <x v="13"/>
    <s v="C017"/>
    <s v="Dev Patel"/>
    <x v="4"/>
    <x v="9"/>
    <x v="3"/>
    <n v="8"/>
    <n v="12500"/>
    <n v="0.15"/>
    <n v="85000"/>
    <n v="73600"/>
    <n v="11400"/>
    <s v="UPI"/>
    <s v="Priya"/>
  </r>
  <r>
    <s v="ORD115"/>
    <x v="14"/>
    <s v="C013"/>
    <s v="Dhruv Desai"/>
    <x v="0"/>
    <x v="9"/>
    <x v="3"/>
    <n v="1"/>
    <n v="12500"/>
    <n v="0.15"/>
    <n v="10625"/>
    <n v="9200"/>
    <n v="1425"/>
    <s v="Credit Card"/>
    <s v="Rohan"/>
  </r>
  <r>
    <s v="ORD111"/>
    <x v="15"/>
    <s v="C011"/>
    <s v="Krish Shah"/>
    <x v="2"/>
    <x v="1"/>
    <x v="1"/>
    <n v="5"/>
    <n v="350"/>
    <n v="0"/>
    <n v="1750"/>
    <n v="700"/>
    <n v="1050"/>
    <s v="Net Banking"/>
    <s v="Karan"/>
  </r>
  <r>
    <s v="ORD113"/>
    <x v="15"/>
    <s v="C006"/>
    <s v="Kiara Shah"/>
    <x v="5"/>
    <x v="1"/>
    <x v="1"/>
    <n v="7"/>
    <n v="350"/>
    <n v="0.15"/>
    <n v="2082.5"/>
    <n v="980"/>
    <n v="1102.5"/>
    <s v="Credit Card"/>
    <s v="Priya"/>
  </r>
  <r>
    <s v="ORD005"/>
    <x v="16"/>
    <s v="C005"/>
    <s v="Reyansh Joshi"/>
    <x v="5"/>
    <x v="7"/>
    <x v="3"/>
    <n v="6"/>
    <n v="1800"/>
    <n v="0"/>
    <n v="10800"/>
    <n v="5700"/>
    <n v="5100"/>
    <s v="UPI"/>
    <s v="Rohan"/>
  </r>
  <r>
    <s v="ORD092"/>
    <x v="16"/>
    <s v="C016"/>
    <s v="Riya Shah"/>
    <x v="0"/>
    <x v="3"/>
    <x v="2"/>
    <n v="8"/>
    <n v="120"/>
    <n v="0"/>
    <n v="960"/>
    <n v="440"/>
    <n v="520"/>
    <s v="Cash"/>
    <s v="Priya"/>
  </r>
  <r>
    <s v="ORD098"/>
    <x v="17"/>
    <s v="C018"/>
    <s v="Pari Desai"/>
    <x v="1"/>
    <x v="0"/>
    <x v="0"/>
    <n v="3"/>
    <n v="5500"/>
    <n v="0.15"/>
    <n v="14025"/>
    <n v="10800"/>
    <n v="3225"/>
    <s v="Net Banking"/>
    <s v="Rohan"/>
  </r>
  <r>
    <s v="ORD055"/>
    <x v="18"/>
    <s v="C006"/>
    <s v="Unknown"/>
    <x v="4"/>
    <x v="1"/>
    <x v="1"/>
    <n v="5"/>
    <n v="350"/>
    <n v="0"/>
    <n v="1750"/>
    <n v="700"/>
    <n v="1050"/>
    <s v="Debit Card"/>
    <s v="Rohan"/>
  </r>
  <r>
    <s v="ORD017"/>
    <x v="19"/>
    <s v="C001"/>
    <s v="Aarav Shah"/>
    <x v="0"/>
    <x v="5"/>
    <x v="3"/>
    <n v="5"/>
    <n v="650"/>
    <n v="0.1"/>
    <n v="2925"/>
    <n v="1500"/>
    <n v="1425"/>
    <s v="Debit Card"/>
    <s v="Neha"/>
  </r>
  <r>
    <s v="ORD107"/>
    <x v="20"/>
    <s v="C009"/>
    <s v="Arjun Mehta"/>
    <x v="4"/>
    <x v="1"/>
    <x v="1"/>
    <n v="4"/>
    <n v="350"/>
    <n v="0.15"/>
    <n v="1190"/>
    <n v="560"/>
    <n v="630"/>
    <s v="Cash"/>
    <s v="Neha"/>
  </r>
  <r>
    <s v="ORD118"/>
    <x v="21"/>
    <s v="C005"/>
    <s v="Reyansh Joshi"/>
    <x v="1"/>
    <x v="0"/>
    <x v="0"/>
    <n v="8"/>
    <n v="5500"/>
    <n v="0.15"/>
    <n v="37400"/>
    <n v="28800"/>
    <n v="8600"/>
    <s v="Net Banking"/>
    <s v="Neha"/>
  </r>
  <r>
    <s v="ORD097"/>
    <x v="22"/>
    <s v="C006"/>
    <s v="Kiara Shah"/>
    <x v="0"/>
    <x v="0"/>
    <x v="0"/>
    <n v="1"/>
    <n v="5500"/>
    <n v="0.2"/>
    <n v="4400"/>
    <n v="3600"/>
    <n v="800"/>
    <s v="UPI"/>
    <s v="Amit"/>
  </r>
  <r>
    <s v="ORD048"/>
    <x v="23"/>
    <s v="C012"/>
    <s v="Ira Patel"/>
    <x v="1"/>
    <x v="1"/>
    <x v="1"/>
    <n v="3"/>
    <n v="350"/>
    <n v="0.15"/>
    <n v="892.5"/>
    <n v="420"/>
    <n v="472.5"/>
    <s v="Credit Card"/>
    <s v="Rohan"/>
  </r>
  <r>
    <s v="ORD063"/>
    <x v="24"/>
    <s v="C008"/>
    <s v="Myra Desai"/>
    <x v="1"/>
    <x v="0"/>
    <x v="0"/>
    <n v="4"/>
    <n v="5500"/>
    <n v="0.05"/>
    <n v="20900"/>
    <n v="14400"/>
    <n v="6500"/>
    <s v="UPI"/>
    <s v="Neha"/>
  </r>
  <r>
    <s v="ORD070"/>
    <x v="25"/>
    <s v="C011"/>
    <s v="Krish Shah"/>
    <x v="2"/>
    <x v="2"/>
    <x v="0"/>
    <n v="2"/>
    <n v="8500"/>
    <n v="0.05"/>
    <n v="16150"/>
    <n v="12000"/>
    <n v="4150"/>
    <s v="Debit Card"/>
    <s v="Neha"/>
  </r>
  <r>
    <s v="ORD080"/>
    <x v="26"/>
    <s v="C008"/>
    <s v="Myra Desai"/>
    <x v="2"/>
    <x v="7"/>
    <x v="3"/>
    <n v="1"/>
    <n v="1800"/>
    <n v="0.2"/>
    <n v="1440"/>
    <n v="950"/>
    <n v="490"/>
    <s v="Cash"/>
    <s v="Priya"/>
  </r>
  <r>
    <s v="ORD104"/>
    <x v="27"/>
    <s v="C007"/>
    <s v="Advik Patel"/>
    <x v="2"/>
    <x v="7"/>
    <x v="3"/>
    <n v="5"/>
    <n v="1800"/>
    <n v="0"/>
    <n v="9000"/>
    <n v="4750"/>
    <n v="4250"/>
    <s v="Cash"/>
    <s v="Karan"/>
  </r>
  <r>
    <s v="ORD004"/>
    <x v="28"/>
    <s v="C015"/>
    <s v="Kabir Joshi"/>
    <x v="5"/>
    <x v="1"/>
    <x v="1"/>
    <n v="5"/>
    <n v="350"/>
    <n v="0"/>
    <n v="1750"/>
    <n v="700"/>
    <n v="1050"/>
    <s v="Credit Card"/>
    <s v="Rohan"/>
  </r>
  <r>
    <s v="ORD050"/>
    <x v="29"/>
    <s v="C014"/>
    <s v="Aadhya Mehta"/>
    <x v="2"/>
    <x v="1"/>
    <x v="1"/>
    <n v="3"/>
    <n v="350"/>
    <n v="0.05"/>
    <n v="997.5"/>
    <n v="420"/>
    <n v="577.5"/>
    <s v="Debit Card"/>
    <s v="Amit"/>
  </r>
  <r>
    <s v="ORD108"/>
    <x v="30"/>
    <s v="C009"/>
    <s v="Arjun Mehta"/>
    <x v="0"/>
    <x v="4"/>
    <x v="3"/>
    <n v="2"/>
    <n v="1200"/>
    <n v="0"/>
    <n v="2400"/>
    <n v="1300"/>
    <n v="1100"/>
    <s v="Net Banking"/>
    <s v="Karan"/>
  </r>
  <r>
    <s v="ORD032"/>
    <x v="31"/>
    <s v="C018"/>
    <s v="Pari Desai"/>
    <x v="5"/>
    <x v="8"/>
    <x v="3"/>
    <n v="2"/>
    <n v="45000"/>
    <n v="0.05"/>
    <n v="85500"/>
    <n v="66000"/>
    <n v="19500"/>
    <s v="Debit Card"/>
    <s v="Priya"/>
  </r>
  <r>
    <s v="ORD086"/>
    <x v="32"/>
    <s v="C012"/>
    <s v="Ira Patel"/>
    <x v="4"/>
    <x v="3"/>
    <x v="2"/>
    <n v="3"/>
    <n v="120"/>
    <n v="0.15"/>
    <n v="306"/>
    <n v="165"/>
    <n v="141"/>
    <s v="Credit Card"/>
    <s v="Karan"/>
  </r>
  <r>
    <s v="ORD018"/>
    <x v="33"/>
    <s v="C015"/>
    <s v="Kabir Joshi"/>
    <x v="4"/>
    <x v="8"/>
    <x v="3"/>
    <n v="5"/>
    <n v="45000"/>
    <n v="0.2"/>
    <n v="180000"/>
    <n v="165000"/>
    <n v="15000"/>
    <s v="UPI"/>
    <s v="Rohan"/>
  </r>
  <r>
    <s v="ORD089"/>
    <x v="34"/>
    <s v="C011"/>
    <s v="Krish Shah"/>
    <x v="5"/>
    <x v="8"/>
    <x v="3"/>
    <n v="8"/>
    <n v="45000"/>
    <n v="0.1"/>
    <n v="324000"/>
    <n v="264000"/>
    <n v="60000"/>
    <s v="Cash"/>
    <s v="Rohan"/>
  </r>
  <r>
    <s v="ORD099"/>
    <x v="35"/>
    <s v="C016"/>
    <s v="Riya Shah"/>
    <x v="1"/>
    <x v="3"/>
    <x v="2"/>
    <n v="8"/>
    <n v="120"/>
    <n v="0.1"/>
    <n v="864"/>
    <n v="440"/>
    <n v="424"/>
    <s v="Credit Card"/>
    <s v="Priya"/>
  </r>
  <r>
    <s v="ORD096"/>
    <x v="36"/>
    <s v="C016"/>
    <s v="Riya Shah"/>
    <x v="0"/>
    <x v="0"/>
    <x v="0"/>
    <n v="5"/>
    <n v="5500"/>
    <n v="0"/>
    <n v="27500"/>
    <n v="18000"/>
    <n v="9500"/>
    <s v="Cash"/>
    <s v="Rohan"/>
  </r>
  <r>
    <s v="ORD003"/>
    <x v="37"/>
    <s v="C017"/>
    <s v="Dev Patel"/>
    <x v="4"/>
    <x v="1"/>
    <x v="1"/>
    <n v="1"/>
    <n v="350"/>
    <n v="0.2"/>
    <n v="280"/>
    <n v="140"/>
    <n v="140"/>
    <s v="Debit Card"/>
    <s v="Neha"/>
  </r>
  <r>
    <s v="ORD083"/>
    <x v="37"/>
    <s v="C010"/>
    <s v="Sara Joshi"/>
    <x v="1"/>
    <x v="1"/>
    <x v="1"/>
    <n v="7"/>
    <n v="350"/>
    <n v="0.15"/>
    <n v="2082.5"/>
    <n v="980"/>
    <n v="1102.5"/>
    <s v="Net Banking"/>
    <s v="Neha"/>
  </r>
  <r>
    <s v="ORD025"/>
    <x v="38"/>
    <s v="C001"/>
    <s v="Aarav Shah"/>
    <x v="1"/>
    <x v="1"/>
    <x v="1"/>
    <n v="4"/>
    <n v="350"/>
    <n v="0.2"/>
    <n v="1120"/>
    <n v="560"/>
    <n v="560"/>
    <s v="UPI"/>
    <s v="Amit"/>
  </r>
  <r>
    <s v="ORD014"/>
    <x v="38"/>
    <s v="C014"/>
    <s v="Aadhya Mehta"/>
    <x v="2"/>
    <x v="1"/>
    <x v="1"/>
    <n v="7"/>
    <n v="350"/>
    <n v="0.1"/>
    <n v="2205"/>
    <n v="980"/>
    <n v="1225"/>
    <s v="Net Banking"/>
    <s v="Priya"/>
  </r>
  <r>
    <s v="ORD001"/>
    <x v="39"/>
    <s v="C004"/>
    <s v="Anaya Mehta"/>
    <x v="2"/>
    <x v="8"/>
    <x v="3"/>
    <n v="5"/>
    <n v="45000"/>
    <n v="0.05"/>
    <n v="213750"/>
    <n v="165000"/>
    <n v="48750"/>
    <s v="UPI"/>
    <s v="Karan"/>
  </r>
  <r>
    <s v="ORD008"/>
    <x v="40"/>
    <s v="C002"/>
    <s v="Diya Patel"/>
    <x v="1"/>
    <x v="7"/>
    <x v="3"/>
    <n v="5"/>
    <n v="1800"/>
    <n v="0"/>
    <n v="9000"/>
    <n v="4750"/>
    <n v="4250"/>
    <s v="Debit Card"/>
    <s v="Rohan"/>
  </r>
  <r>
    <s v="ORD024"/>
    <x v="41"/>
    <s v="C012"/>
    <s v="Ira Patel"/>
    <x v="2"/>
    <x v="3"/>
    <x v="2"/>
    <n v="8"/>
    <n v="120"/>
    <n v="0"/>
    <n v="960"/>
    <n v="440"/>
    <n v="520"/>
    <s v="UPI"/>
    <s v="Rohan"/>
  </r>
  <r>
    <s v="ORD101"/>
    <x v="42"/>
    <s v="C005"/>
    <s v="Reyansh Joshi"/>
    <x v="1"/>
    <x v="1"/>
    <x v="1"/>
    <n v="5"/>
    <n v="350"/>
    <n v="0"/>
    <n v="1750"/>
    <n v="700"/>
    <n v="1050"/>
    <s v="Net Banking"/>
    <s v="Priya"/>
  </r>
  <r>
    <s v="ORD078"/>
    <x v="43"/>
    <s v="C011"/>
    <s v="Krish Shah"/>
    <x v="1"/>
    <x v="6"/>
    <x v="2"/>
    <n v="5"/>
    <n v="80"/>
    <n v="0.15"/>
    <n v="340"/>
    <n v="175"/>
    <n v="165"/>
    <s v="Debit Card"/>
    <s v="Amit"/>
  </r>
  <r>
    <s v="ORD068"/>
    <x v="44"/>
    <s v="C015"/>
    <s v="Kabir Joshi"/>
    <x v="2"/>
    <x v="4"/>
    <x v="3"/>
    <n v="8"/>
    <n v="1200"/>
    <n v="0.15"/>
    <n v="8160"/>
    <n v="5200"/>
    <n v="2960"/>
    <s v="Credit Card"/>
    <s v="Karan"/>
  </r>
  <r>
    <s v="ORD051"/>
    <x v="45"/>
    <s v="C006"/>
    <s v="Kiara Shah"/>
    <x v="2"/>
    <x v="2"/>
    <x v="0"/>
    <n v="7"/>
    <n v="8500"/>
    <n v="0.05"/>
    <n v="56525"/>
    <n v="42000"/>
    <n v="14525"/>
    <s v="Unknown"/>
    <s v="Priya"/>
  </r>
  <r>
    <s v="ORD094"/>
    <x v="46"/>
    <s v="C018"/>
    <s v="Pari Desai"/>
    <x v="0"/>
    <x v="2"/>
    <x v="0"/>
    <n v="6"/>
    <n v="8500"/>
    <n v="0.15"/>
    <n v="43350"/>
    <n v="36000"/>
    <n v="7350"/>
    <s v="Credit Card"/>
    <s v="Neha"/>
  </r>
  <r>
    <s v="ORD074"/>
    <x v="47"/>
    <s v="C020"/>
    <s v="Navya Joshi"/>
    <x v="5"/>
    <x v="7"/>
    <x v="3"/>
    <n v="8"/>
    <n v="1800"/>
    <n v="0.05"/>
    <n v="13680"/>
    <n v="7600"/>
    <n v="6080"/>
    <s v="Debit Card"/>
    <s v="Amit"/>
  </r>
  <r>
    <s v="ORD044"/>
    <x v="48"/>
    <s v="C004"/>
    <s v="Anaya Mehta"/>
    <x v="4"/>
    <x v="5"/>
    <x v="3"/>
    <n v="3"/>
    <n v="650"/>
    <n v="0.1"/>
    <n v="1755"/>
    <n v="900"/>
    <n v="855"/>
    <s v="Cash"/>
    <s v="Rohan"/>
  </r>
  <r>
    <s v="ORD120"/>
    <x v="49"/>
    <s v="C015"/>
    <s v="Kabir Joshi"/>
    <x v="4"/>
    <x v="5"/>
    <x v="3"/>
    <n v="3"/>
    <n v="650"/>
    <n v="0.15"/>
    <n v="1657.5"/>
    <n v="900"/>
    <n v="757.5"/>
    <s v="Credit Card"/>
    <s v="Priya"/>
  </r>
  <r>
    <s v="ORD043"/>
    <x v="50"/>
    <s v="C018"/>
    <s v="Pari Desai"/>
    <x v="1"/>
    <x v="0"/>
    <x v="0"/>
    <n v="1"/>
    <n v="5500"/>
    <n v="0.2"/>
    <n v="4400"/>
    <n v="3600"/>
    <n v="800"/>
    <s v="Cash"/>
    <s v="Rohan"/>
  </r>
  <r>
    <s v="ORD058"/>
    <x v="51"/>
    <s v="C011"/>
    <s v="Krish Shah"/>
    <x v="5"/>
    <x v="5"/>
    <x v="3"/>
    <n v="5"/>
    <n v="650"/>
    <n v="0.2"/>
    <n v="2600"/>
    <n v="1500"/>
    <n v="1100"/>
    <s v="Credit Card"/>
    <s v="Priya"/>
  </r>
  <r>
    <s v="ORD082"/>
    <x v="52"/>
    <s v="C020"/>
    <s v="Navya Joshi"/>
    <x v="1"/>
    <x v="1"/>
    <x v="1"/>
    <n v="2"/>
    <n v="350"/>
    <n v="0.05"/>
    <n v="665"/>
    <n v="280"/>
    <n v="385"/>
    <s v="Net Banking"/>
    <s v="Amit"/>
  </r>
  <r>
    <s v="ORD040"/>
    <x v="53"/>
    <s v="C013"/>
    <s v="Dhruv Desai"/>
    <x v="1"/>
    <x v="4"/>
    <x v="3"/>
    <n v="5"/>
    <n v="1200"/>
    <n v="0.15"/>
    <n v="5100"/>
    <n v="3250"/>
    <n v="1850"/>
    <s v="UPI"/>
    <s v="Priya"/>
  </r>
  <r>
    <s v="ORD077"/>
    <x v="54"/>
    <s v="C006"/>
    <s v="Kiara Shah"/>
    <x v="2"/>
    <x v="8"/>
    <x v="3"/>
    <n v="5"/>
    <n v="45000"/>
    <n v="0.15"/>
    <n v="191250"/>
    <n v="165000"/>
    <n v="26250"/>
    <s v="Debit Card"/>
    <s v="Rohan"/>
  </r>
  <r>
    <s v="ORD114"/>
    <x v="55"/>
    <s v="C011"/>
    <s v="Krish Shah"/>
    <x v="5"/>
    <x v="2"/>
    <x v="0"/>
    <n v="2"/>
    <n v="8500"/>
    <n v="0.05"/>
    <n v="16150"/>
    <n v="12000"/>
    <n v="4150"/>
    <s v="Debit Card"/>
    <s v="Rohan"/>
  </r>
  <r>
    <s v="ORD053"/>
    <x v="55"/>
    <s v="C008"/>
    <s v="Myra Desai"/>
    <x v="0"/>
    <x v="8"/>
    <x v="3"/>
    <n v="4"/>
    <n v="45000"/>
    <n v="0.15"/>
    <n v="153000"/>
    <n v="132000"/>
    <n v="21000"/>
    <s v="UPI"/>
    <s v="Rohan"/>
  </r>
  <r>
    <s v="ORD054"/>
    <x v="56"/>
    <s v="C012"/>
    <s v="Ira Patel"/>
    <x v="1"/>
    <x v="9"/>
    <x v="3"/>
    <n v="7"/>
    <n v="12500"/>
    <n v="0.2"/>
    <n v="70000"/>
    <n v="64400"/>
    <n v="5600"/>
    <s v="UPI"/>
    <s v="Rohan"/>
  </r>
  <r>
    <s v="ORD071"/>
    <x v="56"/>
    <s v="C007"/>
    <s v="Advik Patel"/>
    <x v="4"/>
    <x v="5"/>
    <x v="3"/>
    <n v="7"/>
    <n v="650"/>
    <n v="0.15"/>
    <n v="3867.5"/>
    <n v="2100"/>
    <n v="1767.5"/>
    <s v="Debit Card"/>
    <s v="Priya"/>
  </r>
  <r>
    <s v="ORD009"/>
    <x v="57"/>
    <s v="C015"/>
    <s v="Kabir Joshi"/>
    <x v="2"/>
    <x v="2"/>
    <x v="0"/>
    <n v="3"/>
    <n v="8500"/>
    <n v="0.1"/>
    <n v="22950"/>
    <n v="18000"/>
    <n v="4950"/>
    <s v="Credit Card"/>
    <s v="Amit"/>
  </r>
  <r>
    <s v="ORD007"/>
    <x v="58"/>
    <s v="C003"/>
    <s v="Vivaan Desai"/>
    <x v="4"/>
    <x v="9"/>
    <x v="3"/>
    <n v="5"/>
    <n v="12500"/>
    <n v="0.2"/>
    <n v="50000"/>
    <n v="46000"/>
    <n v="4000"/>
    <s v="Cash"/>
    <s v="Amit"/>
  </r>
  <r>
    <s v="ORD042"/>
    <x v="59"/>
    <s v="C005"/>
    <s v="Reyansh Joshi"/>
    <x v="0"/>
    <x v="2"/>
    <x v="0"/>
    <n v="2"/>
    <n v="8500"/>
    <n v="0.05"/>
    <n v="16150"/>
    <n v="12000"/>
    <n v="4150"/>
    <s v="Cash"/>
    <s v="Priya"/>
  </r>
  <r>
    <s v="ORD019"/>
    <x v="60"/>
    <s v="C017"/>
    <s v="Dev Patel"/>
    <x v="2"/>
    <x v="1"/>
    <x v="1"/>
    <n v="4"/>
    <n v="350"/>
    <n v="0.05"/>
    <n v="1330"/>
    <n v="560"/>
    <n v="770"/>
    <s v="Net Banking"/>
    <s v="Karan"/>
  </r>
  <r>
    <s v="ORD102"/>
    <x v="61"/>
    <s v="C020"/>
    <s v="Navya Joshi"/>
    <x v="5"/>
    <x v="1"/>
    <x v="1"/>
    <n v="4"/>
    <n v="350"/>
    <n v="0.2"/>
    <n v="1120"/>
    <n v="560"/>
    <n v="560"/>
    <s v="Debit Card"/>
    <s v="Rohan"/>
  </r>
  <r>
    <s v="ORD033"/>
    <x v="61"/>
    <s v="C007"/>
    <s v="Advik Patel"/>
    <x v="1"/>
    <x v="6"/>
    <x v="2"/>
    <n v="1"/>
    <n v="80"/>
    <n v="0.05"/>
    <n v="76"/>
    <n v="35"/>
    <n v="41"/>
    <s v="Debit Card"/>
    <s v="Rohan"/>
  </r>
  <r>
    <s v="ORD073"/>
    <x v="62"/>
    <s v="C016"/>
    <s v="Riya Shah"/>
    <x v="5"/>
    <x v="8"/>
    <x v="3"/>
    <n v="6"/>
    <n v="45000"/>
    <n v="0.1"/>
    <n v="243000"/>
    <n v="198000"/>
    <n v="45000"/>
    <s v="Net Banking"/>
    <s v="Karan"/>
  </r>
  <r>
    <s v="ORD119"/>
    <x v="63"/>
    <s v="C006"/>
    <s v="Kiara Shah"/>
    <x v="1"/>
    <x v="0"/>
    <x v="0"/>
    <n v="1"/>
    <n v="5500"/>
    <n v="0.2"/>
    <n v="4400"/>
    <n v="3600"/>
    <n v="800"/>
    <s v="Cash"/>
    <s v="Amit"/>
  </r>
  <r>
    <s v="ORD091"/>
    <x v="63"/>
    <s v="C017"/>
    <s v="Dev Patel"/>
    <x v="5"/>
    <x v="7"/>
    <x v="3"/>
    <n v="2"/>
    <n v="1800"/>
    <n v="0.05"/>
    <n v="3420"/>
    <n v="1900"/>
    <n v="1520"/>
    <s v="Net Banking"/>
    <s v="Neha"/>
  </r>
  <r>
    <s v="ORD064"/>
    <x v="64"/>
    <s v="C016"/>
    <s v="Riya Shah"/>
    <x v="4"/>
    <x v="1"/>
    <x v="1"/>
    <n v="2"/>
    <n v="350"/>
    <n v="0.15"/>
    <n v="595"/>
    <n v="280"/>
    <n v="315"/>
    <s v="Cash"/>
    <s v="Priya"/>
  </r>
  <r>
    <s v="ORD059"/>
    <x v="65"/>
    <s v="C010"/>
    <s v="Sara Joshi"/>
    <x v="5"/>
    <x v="9"/>
    <x v="3"/>
    <n v="3"/>
    <n v="12500"/>
    <n v="0.05"/>
    <n v="35625"/>
    <n v="27600"/>
    <n v="8025"/>
    <s v="Cash"/>
    <s v="Karan"/>
  </r>
  <r>
    <s v="ORD085"/>
    <x v="65"/>
    <s v="C012"/>
    <s v="Ira Patel"/>
    <x v="5"/>
    <x v="5"/>
    <x v="3"/>
    <n v="6"/>
    <n v="650"/>
    <n v="0"/>
    <n v="3900"/>
    <n v="1800"/>
    <n v="2100"/>
    <s v="UPI"/>
    <s v="Priya"/>
  </r>
  <r>
    <s v="ORD057"/>
    <x v="66"/>
    <s v="C014"/>
    <s v="Aadhya Mehta"/>
    <x v="1"/>
    <x v="8"/>
    <x v="3"/>
    <n v="4"/>
    <n v="45000"/>
    <n v="0.1"/>
    <n v="162000"/>
    <n v="132000"/>
    <n v="30000"/>
    <s v="Credit Card"/>
    <s v="Karan"/>
  </r>
  <r>
    <s v="ORD061"/>
    <x v="67"/>
    <s v="C014"/>
    <s v="Aadhya Mehta"/>
    <x v="5"/>
    <x v="1"/>
    <x v="1"/>
    <n v="6"/>
    <n v="350"/>
    <n v="0.15"/>
    <n v="1785"/>
    <n v="840"/>
    <n v="945"/>
    <s v="Cash"/>
    <s v="Karan"/>
  </r>
  <r>
    <s v="ORD031"/>
    <x v="67"/>
    <s v="C009"/>
    <s v="Arjun Mehta"/>
    <x v="4"/>
    <x v="3"/>
    <x v="2"/>
    <n v="4"/>
    <n v="120"/>
    <n v="0"/>
    <n v="480"/>
    <n v="220"/>
    <n v="260"/>
    <s v="UPI"/>
    <s v="Amit"/>
  </r>
  <r>
    <s v="ORD030"/>
    <x v="68"/>
    <s v="C008"/>
    <s v="Myra Desai"/>
    <x v="2"/>
    <x v="7"/>
    <x v="3"/>
    <n v="4"/>
    <n v="1800"/>
    <n v="0.2"/>
    <n v="5760"/>
    <n v="3800"/>
    <n v="1960"/>
    <s v="Debit Card"/>
    <s v="Neha"/>
  </r>
  <r>
    <s v="ORD105"/>
    <x v="69"/>
    <s v="C003"/>
    <s v="Vivaan Desai"/>
    <x v="4"/>
    <x v="4"/>
    <x v="3"/>
    <n v="1"/>
    <n v="1200"/>
    <n v="0.15"/>
    <n v="1020"/>
    <n v="650"/>
    <n v="370"/>
    <s v="Debit Card"/>
    <s v="Rohan"/>
  </r>
  <r>
    <s v="ORD052"/>
    <x v="70"/>
    <s v="C002"/>
    <s v="Diya Patel"/>
    <x v="0"/>
    <x v="3"/>
    <x v="2"/>
    <n v="4"/>
    <n v="120"/>
    <n v="0.05"/>
    <n v="456"/>
    <n v="220"/>
    <n v="236"/>
    <s v="Credit Card"/>
    <s v="Neha"/>
  </r>
  <r>
    <s v="ORD006"/>
    <x v="70"/>
    <s v="C012"/>
    <s v="Ira Patel"/>
    <x v="4"/>
    <x v="1"/>
    <x v="1"/>
    <n v="5"/>
    <n v="350"/>
    <n v="0"/>
    <n v="1750"/>
    <n v="700"/>
    <n v="1050"/>
    <s v="UPI"/>
    <s v="Priya"/>
  </r>
  <r>
    <s v="ORD010"/>
    <x v="71"/>
    <s v="C020"/>
    <s v="Navya Joshi"/>
    <x v="5"/>
    <x v="4"/>
    <x v="3"/>
    <n v="4"/>
    <n v="1200"/>
    <n v="0.05"/>
    <n v="4560"/>
    <n v="2600"/>
    <n v="1960"/>
    <s v="Credit Card"/>
    <s v="Karan"/>
  </r>
  <r>
    <s v="ORD116"/>
    <x v="71"/>
    <s v="C004"/>
    <s v="Anaya Mehta"/>
    <x v="5"/>
    <x v="6"/>
    <x v="2"/>
    <n v="1"/>
    <n v="80"/>
    <n v="0.2"/>
    <n v="64"/>
    <n v="35"/>
    <n v="29"/>
    <s v="UPI"/>
    <s v="Neha"/>
  </r>
  <r>
    <s v="ORD088"/>
    <x v="72"/>
    <s v="C003"/>
    <s v="Vivaan Desai"/>
    <x v="4"/>
    <x v="0"/>
    <x v="0"/>
    <n v="8"/>
    <n v="5500"/>
    <n v="0.05"/>
    <n v="41800"/>
    <n v="28800"/>
    <n v="13000"/>
    <s v="Net Banking"/>
    <s v="Priya"/>
  </r>
  <r>
    <s v="ORD016"/>
    <x v="73"/>
    <s v="C003"/>
    <s v="Vivaan Desai"/>
    <x v="4"/>
    <x v="6"/>
    <x v="2"/>
    <n v="7"/>
    <n v="80"/>
    <n v="0.2"/>
    <n v="448"/>
    <n v="245"/>
    <n v="203"/>
    <s v="Credit Card"/>
    <s v="Karan"/>
  </r>
  <r>
    <s v="ORD075"/>
    <x v="73"/>
    <s v="C013"/>
    <s v="Dhruv Desai"/>
    <x v="2"/>
    <x v="2"/>
    <x v="0"/>
    <n v="7"/>
    <n v="8500"/>
    <n v="0.05"/>
    <n v="56525"/>
    <n v="42000"/>
    <n v="14525"/>
    <s v="Net Banking"/>
    <s v="Karan"/>
  </r>
  <r>
    <s v="ORD112"/>
    <x v="74"/>
    <s v="C001"/>
    <s v="Aarav Shah"/>
    <x v="4"/>
    <x v="0"/>
    <x v="0"/>
    <n v="1"/>
    <n v="5500"/>
    <n v="0.05"/>
    <n v="5225"/>
    <n v="3600"/>
    <n v="1625"/>
    <s v="Debit Card"/>
    <s v="Rohan"/>
  </r>
  <r>
    <s v="ORD062"/>
    <x v="75"/>
    <s v="C016"/>
    <s v="Riya Shah"/>
    <x v="4"/>
    <x v="4"/>
    <x v="3"/>
    <n v="2"/>
    <n v="1200"/>
    <n v="0.1"/>
    <n v="2160"/>
    <n v="1300"/>
    <n v="860"/>
    <s v="Credit Card"/>
    <s v="Amit"/>
  </r>
  <r>
    <s v="ORD036"/>
    <x v="76"/>
    <s v="C002"/>
    <s v="Diya Patel"/>
    <x v="2"/>
    <x v="1"/>
    <x v="1"/>
    <n v="8"/>
    <n v="350"/>
    <n v="0.2"/>
    <n v="2240"/>
    <n v="1120"/>
    <n v="1120"/>
    <s v="UPI"/>
    <s v="Karan"/>
  </r>
  <r>
    <s v="ORD095"/>
    <x v="77"/>
    <s v="C004"/>
    <s v="Anaya Mehta"/>
    <x v="2"/>
    <x v="7"/>
    <x v="3"/>
    <n v="6"/>
    <n v="1800"/>
    <n v="0"/>
    <n v="10800"/>
    <n v="5700"/>
    <n v="5100"/>
    <s v="Cash"/>
    <s v="Neha"/>
  </r>
  <r>
    <s v="ORD041"/>
    <x v="78"/>
    <s v="C020"/>
    <s v="Navya Joshi"/>
    <x v="2"/>
    <x v="1"/>
    <x v="1"/>
    <n v="2"/>
    <n v="350"/>
    <n v="0"/>
    <n v="700"/>
    <n v="280"/>
    <n v="420"/>
    <s v="Net Banking"/>
    <s v="Rohan"/>
  </r>
  <r>
    <s v="ORD035"/>
    <x v="79"/>
    <s v="C010"/>
    <s v="Sara Joshi"/>
    <x v="1"/>
    <x v="7"/>
    <x v="3"/>
    <n v="1"/>
    <n v="1800"/>
    <n v="0.2"/>
    <n v="1440"/>
    <n v="950"/>
    <n v="490"/>
    <s v="Credit Card"/>
    <s v="Amit"/>
  </r>
  <r>
    <s v="ORD022"/>
    <x v="80"/>
    <s v="C018"/>
    <s v="Pari Desai"/>
    <x v="2"/>
    <x v="4"/>
    <x v="3"/>
    <n v="3"/>
    <n v="1200"/>
    <n v="0.15"/>
    <n v="3060"/>
    <n v="1950"/>
    <n v="1110"/>
    <s v="Credit Card"/>
    <s v="Karan"/>
  </r>
  <r>
    <s v="ORD093"/>
    <x v="81"/>
    <s v="C008"/>
    <s v="Myra Desai"/>
    <x v="4"/>
    <x v="0"/>
    <x v="0"/>
    <n v="6"/>
    <n v="5500"/>
    <n v="0.15"/>
    <n v="28050"/>
    <n v="21600"/>
    <n v="6450"/>
    <s v="Credit Card"/>
    <s v="Priya"/>
  </r>
  <r>
    <s v="ORD066"/>
    <x v="82"/>
    <s v="C008"/>
    <s v="Myra Desai"/>
    <x v="2"/>
    <x v="4"/>
    <x v="3"/>
    <n v="8"/>
    <n v="1200"/>
    <n v="0"/>
    <n v="9600"/>
    <n v="5200"/>
    <n v="4400"/>
    <s v="UPI"/>
    <s v="Priya"/>
  </r>
  <r>
    <s v="ORD013"/>
    <x v="83"/>
    <s v="C005"/>
    <s v="Reyansh Joshi"/>
    <x v="4"/>
    <x v="0"/>
    <x v="0"/>
    <n v="3"/>
    <n v="5500"/>
    <n v="0.05"/>
    <n v="15675"/>
    <n v="10800"/>
    <n v="4875"/>
    <s v="Credit Card"/>
    <s v="Karan"/>
  </r>
  <r>
    <s v="ORD056"/>
    <x v="84"/>
    <s v="C011"/>
    <s v="Krish Shah"/>
    <x v="2"/>
    <x v="6"/>
    <x v="2"/>
    <n v="2"/>
    <n v="80"/>
    <n v="0.15"/>
    <n v="136"/>
    <n v="70"/>
    <n v="66"/>
    <s v="Credit Card"/>
    <s v="Amit"/>
  </r>
  <r>
    <s v="ORD072"/>
    <x v="85"/>
    <s v="C002"/>
    <s v="Diya Patel"/>
    <x v="1"/>
    <x v="7"/>
    <x v="3"/>
    <n v="7"/>
    <n v="1800"/>
    <n v="0.15"/>
    <n v="10710"/>
    <n v="6650"/>
    <n v="4060"/>
    <s v="Net Banking"/>
    <s v="Priya"/>
  </r>
  <r>
    <s v="ORD087"/>
    <x v="86"/>
    <s v="C018"/>
    <s v="Pari Desai"/>
    <x v="0"/>
    <x v="3"/>
    <x v="2"/>
    <n v="8"/>
    <n v="120"/>
    <n v="0.15"/>
    <n v="816"/>
    <n v="440"/>
    <n v="376"/>
    <s v="Credit Card"/>
    <s v="Neha"/>
  </r>
  <r>
    <s v="ORD067"/>
    <x v="87"/>
    <s v="C005"/>
    <s v="Reyansh Joshi"/>
    <x v="4"/>
    <x v="3"/>
    <x v="2"/>
    <n v="6"/>
    <n v="120"/>
    <n v="0.15"/>
    <n v="612"/>
    <n v="330"/>
    <n v="282"/>
    <s v="Debit Card"/>
    <s v="Karan"/>
  </r>
  <r>
    <s v="ORD103"/>
    <x v="88"/>
    <s v="C019"/>
    <s v="Yash Mehta"/>
    <x v="1"/>
    <x v="6"/>
    <x v="2"/>
    <n v="5"/>
    <n v="80"/>
    <n v="0.2"/>
    <n v="320"/>
    <n v="175"/>
    <n v="145"/>
    <s v="Net Banking"/>
    <s v="Amit"/>
  </r>
  <r>
    <s v="ORD015"/>
    <x v="89"/>
    <s v="C003"/>
    <s v="Vivaan Desai"/>
    <x v="2"/>
    <x v="8"/>
    <x v="3"/>
    <n v="2"/>
    <n v="45000"/>
    <n v="0.05"/>
    <n v="85500"/>
    <n v="66000"/>
    <n v="19500"/>
    <s v="Debit Card"/>
    <s v="Karan"/>
  </r>
  <r>
    <s v="ORD046"/>
    <x v="90"/>
    <s v="C002"/>
    <s v="Diya Patel"/>
    <x v="0"/>
    <x v="8"/>
    <x v="3"/>
    <n v="6"/>
    <n v="45000"/>
    <n v="0.05"/>
    <n v="256500"/>
    <n v="198000"/>
    <n v="58500"/>
    <s v="Cash"/>
    <s v="Priya"/>
  </r>
  <r>
    <s v="ORD076"/>
    <x v="91"/>
    <s v="C001"/>
    <s v="Aarav Shah"/>
    <x v="5"/>
    <x v="6"/>
    <x v="2"/>
    <n v="1"/>
    <n v="80"/>
    <n v="0"/>
    <n v="80"/>
    <n v="35"/>
    <n v="45"/>
    <s v="Cash"/>
    <s v="Priya"/>
  </r>
  <r>
    <s v="ORD079"/>
    <x v="92"/>
    <s v="C018"/>
    <s v="Pari Desai"/>
    <x v="1"/>
    <x v="8"/>
    <x v="3"/>
    <n v="6"/>
    <n v="45000"/>
    <n v="0.05"/>
    <n v="256500"/>
    <n v="198000"/>
    <n v="58500"/>
    <s v="UPI"/>
    <s v="Amit"/>
  </r>
  <r>
    <s v="ORD012"/>
    <x v="93"/>
    <s v="C003"/>
    <s v="Vivaan Desai"/>
    <x v="5"/>
    <x v="7"/>
    <x v="3"/>
    <n v="6"/>
    <n v="1800"/>
    <n v="0.05"/>
    <n v="10260"/>
    <n v="5700"/>
    <n v="4560"/>
    <s v="Debit Card"/>
    <s v="Priya"/>
  </r>
  <r>
    <s v="ORD065"/>
    <x v="93"/>
    <s v="C016"/>
    <s v="Riya Shah"/>
    <x v="1"/>
    <x v="6"/>
    <x v="2"/>
    <n v="4"/>
    <n v="80"/>
    <n v="0.05"/>
    <n v="304"/>
    <n v="140"/>
    <n v="164"/>
    <s v="UPI"/>
    <s v="Priya"/>
  </r>
  <r>
    <s v="ORD028"/>
    <x v="94"/>
    <s v="C014"/>
    <s v="Aadhya Mehta"/>
    <x v="5"/>
    <x v="7"/>
    <x v="3"/>
    <n v="2"/>
    <n v="1800"/>
    <n v="0"/>
    <n v="3600"/>
    <n v="1900"/>
    <n v="1700"/>
    <s v="Credit Card"/>
    <s v="Priya"/>
  </r>
  <r>
    <s v="ORD034"/>
    <x v="95"/>
    <s v="C015"/>
    <s v="Kabir Joshi"/>
    <x v="5"/>
    <x v="0"/>
    <x v="0"/>
    <n v="7"/>
    <n v="5500"/>
    <n v="0.2"/>
    <n v="30800"/>
    <n v="25200"/>
    <n v="5600"/>
    <s v="Cash"/>
    <s v="Neha"/>
  </r>
  <r>
    <s v="ORD049"/>
    <x v="96"/>
    <s v="C002"/>
    <s v="Diya Patel"/>
    <x v="1"/>
    <x v="2"/>
    <x v="0"/>
    <n v="4"/>
    <n v="8500"/>
    <n v="0.05"/>
    <n v="32300"/>
    <n v="24000"/>
    <n v="8300"/>
    <s v="Credit Card"/>
    <s v="Karan"/>
  </r>
  <r>
    <s v="ORD039"/>
    <x v="97"/>
    <s v="C017"/>
    <s v="Dev Patel"/>
    <x v="0"/>
    <x v="2"/>
    <x v="0"/>
    <n v="5"/>
    <n v="8500"/>
    <n v="0.05"/>
    <n v="40375"/>
    <n v="30000"/>
    <n v="10375"/>
    <s v="Cash"/>
    <s v="Rohan"/>
  </r>
  <r>
    <s v="ORD109"/>
    <x v="98"/>
    <s v="C010"/>
    <s v="Sara Joshi"/>
    <x v="0"/>
    <x v="3"/>
    <x v="2"/>
    <n v="2"/>
    <n v="120"/>
    <n v="0.15"/>
    <n v="204"/>
    <n v="110"/>
    <n v="94"/>
    <s v="Debit Card"/>
    <s v="Rohan"/>
  </r>
  <r>
    <s v="ORD023"/>
    <x v="99"/>
    <s v="C020"/>
    <s v="Navya Joshi"/>
    <x v="2"/>
    <x v="6"/>
    <x v="2"/>
    <n v="4"/>
    <n v="80"/>
    <n v="0.2"/>
    <n v="256"/>
    <n v="140"/>
    <n v="116"/>
    <s v="Credit Card"/>
    <s v="Priya"/>
  </r>
  <r>
    <s v="ORD081"/>
    <x v="100"/>
    <s v="C004"/>
    <s v="Anaya Mehta"/>
    <x v="0"/>
    <x v="1"/>
    <x v="1"/>
    <n v="4"/>
    <n v="350"/>
    <n v="0.15"/>
    <n v="1190"/>
    <n v="560"/>
    <n v="630"/>
    <s v="Credit Card"/>
    <s v="Neha"/>
  </r>
  <r>
    <s v="ORD090"/>
    <x v="101"/>
    <s v="C009"/>
    <s v="Arjun Mehta"/>
    <x v="0"/>
    <x v="2"/>
    <x v="0"/>
    <n v="5"/>
    <n v="8500"/>
    <n v="0.2"/>
    <n v="34000"/>
    <n v="30000"/>
    <n v="4000"/>
    <s v="Net Banking"/>
    <s v="Amit"/>
  </r>
  <r>
    <s v="ORD106"/>
    <x v="101"/>
    <s v="C002"/>
    <s v="Diya Patel"/>
    <x v="5"/>
    <x v="7"/>
    <x v="3"/>
    <n v="5"/>
    <n v="1800"/>
    <n v="0.1"/>
    <n v="8100"/>
    <n v="4750"/>
    <n v="3350"/>
    <s v="UPI"/>
    <s v="Neh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3738D-34D0-49A3-85D4-B2C17DCD824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5">
    <pivotField showAll="0"/>
    <pivotField numFmtId="164" showAll="0"/>
    <pivotField showAll="0"/>
    <pivotField showAll="0"/>
    <pivotField showAll="0">
      <items count="7">
        <item x="2"/>
        <item x="4"/>
        <item x="5"/>
        <item x="1"/>
        <item x="3"/>
        <item x="0"/>
        <item t="default"/>
      </items>
    </pivotField>
    <pivotField axis="axisRow" showAll="0">
      <items count="11">
        <item x="2"/>
        <item x="7"/>
        <item x="4"/>
        <item x="8"/>
        <item x="5"/>
        <item x="6"/>
        <item x="0"/>
        <item x="3"/>
        <item x="9"/>
        <item x="1"/>
        <item t="default"/>
      </items>
    </pivotField>
    <pivotField showAll="0"/>
    <pivotField showAll="0"/>
    <pivotField numFmtId="165" showAll="0"/>
    <pivotField numFmtId="9" showAll="0"/>
    <pivotField dataField="1" numFmtId="165" showAll="0"/>
    <pivotField numFmtId="165" showAll="0"/>
    <pivotField numFmtId="165"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ales" fld="10" baseField="0" baseItem="0" numFmtId="165"/>
  </dataFields>
  <formats count="24">
    <format dxfId="76">
      <pivotArea type="all" dataOnly="0" outline="0" fieldPosition="0"/>
    </format>
    <format dxfId="75">
      <pivotArea outline="0" collapsedLevelsAreSubtotals="1" fieldPosition="0"/>
    </format>
    <format dxfId="74">
      <pivotArea field="5" type="button" dataOnly="0" labelOnly="1" outline="0" axis="axisRow" fieldPosition="0"/>
    </format>
    <format dxfId="73">
      <pivotArea dataOnly="0" labelOnly="1" fieldPosition="0">
        <references count="1">
          <reference field="5" count="0"/>
        </references>
      </pivotArea>
    </format>
    <format dxfId="72">
      <pivotArea dataOnly="0" labelOnly="1" grandRow="1" outline="0" fieldPosition="0"/>
    </format>
    <format dxfId="71">
      <pivotArea dataOnly="0" labelOnly="1" outline="0" axis="axisValues" fieldPosition="0"/>
    </format>
    <format dxfId="62">
      <pivotArea type="all" dataOnly="0" outline="0" fieldPosition="0"/>
    </format>
    <format dxfId="61">
      <pivotArea outline="0" collapsedLevelsAreSubtotals="1" fieldPosition="0"/>
    </format>
    <format dxfId="60">
      <pivotArea field="5" type="button" dataOnly="0" labelOnly="1" outline="0" axis="axisRow" fieldPosition="0"/>
    </format>
    <format dxfId="59">
      <pivotArea dataOnly="0" labelOnly="1" fieldPosition="0">
        <references count="1">
          <reference field="5" count="0"/>
        </references>
      </pivotArea>
    </format>
    <format dxfId="58">
      <pivotArea dataOnly="0" labelOnly="1" grandRow="1" outline="0" fieldPosition="0"/>
    </format>
    <format dxfId="57">
      <pivotArea dataOnly="0" labelOnly="1" outline="0" axis="axisValues" fieldPosition="0"/>
    </format>
    <format dxfId="48">
      <pivotArea type="all" dataOnly="0" outline="0" fieldPosition="0"/>
    </format>
    <format dxfId="47">
      <pivotArea outline="0" collapsedLevelsAreSubtotals="1"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grandRow="1" outline="0" fieldPosition="0"/>
    </format>
    <format dxfId="43">
      <pivotArea dataOnly="0" labelOnly="1" outline="0" axis="axisValues" fieldPosition="0"/>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F7E24-B31E-4FD2-A7E8-F4FFE22D894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7" firstHeaderRow="1" firstDataRow="1" firstDataCol="1"/>
  <pivotFields count="15">
    <pivotField showAll="0"/>
    <pivotField numFmtId="164" showAll="0"/>
    <pivotField showAll="0"/>
    <pivotField showAll="0"/>
    <pivotField showAll="0">
      <items count="7">
        <item x="2"/>
        <item x="4"/>
        <item x="5"/>
        <item x="1"/>
        <item x="3"/>
        <item x="0"/>
        <item t="default"/>
      </items>
    </pivotField>
    <pivotField showAll="0"/>
    <pivotField axis="axisRow" showAll="0">
      <items count="5">
        <item x="1"/>
        <item x="3"/>
        <item x="0"/>
        <item x="2"/>
        <item t="default"/>
      </items>
    </pivotField>
    <pivotField showAll="0"/>
    <pivotField numFmtId="165" showAll="0"/>
    <pivotField numFmtId="9" showAll="0"/>
    <pivotField numFmtId="165" showAll="0"/>
    <pivotField numFmtId="165" showAll="0"/>
    <pivotField dataField="1" numFmtId="165" showAll="0"/>
    <pivotField showAll="0"/>
    <pivotField showAll="0"/>
  </pivotFields>
  <rowFields count="1">
    <field x="6"/>
  </rowFields>
  <rowItems count="5">
    <i>
      <x/>
    </i>
    <i>
      <x v="1"/>
    </i>
    <i>
      <x v="2"/>
    </i>
    <i>
      <x v="3"/>
    </i>
    <i t="grand">
      <x/>
    </i>
  </rowItems>
  <colItems count="1">
    <i/>
  </colItems>
  <dataFields count="1">
    <dataField name="Sum of Profit" fld="12" baseField="0" baseItem="0" numFmtId="165"/>
  </dataFields>
  <formats count="24">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grandRow="1" outline="0" fieldPosition="0"/>
    </format>
    <format dxfId="64">
      <pivotArea dataOnly="0" labelOnly="1" outline="0" axis="axisValues"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grandRow="1" outline="0" fieldPosition="0"/>
    </format>
    <format dxfId="50">
      <pivotArea dataOnly="0" labelOnly="1" outline="0" axis="axisValues"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7C1D1C-9289-48B1-9971-C13024A87BE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0" firstHeaderRow="1" firstDataRow="1" firstDataCol="1"/>
  <pivotFields count="15">
    <pivotField showAll="0"/>
    <pivotField numFmtId="164"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showAll="0"/>
    <pivotField showAll="0"/>
    <pivotField axis="axisRow" showAll="0">
      <items count="7">
        <item x="2"/>
        <item x="4"/>
        <item x="5"/>
        <item x="1"/>
        <item x="3"/>
        <item x="0"/>
        <item t="default"/>
      </items>
    </pivotField>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s>
  <rowFields count="1">
    <field x="4"/>
  </rowFields>
  <rowItems count="7">
    <i>
      <x/>
    </i>
    <i>
      <x v="1"/>
    </i>
    <i>
      <x v="2"/>
    </i>
    <i>
      <x v="3"/>
    </i>
    <i>
      <x v="4"/>
    </i>
    <i>
      <x v="5"/>
    </i>
    <i t="grand">
      <x/>
    </i>
  </rowItems>
  <colItems count="1">
    <i/>
  </colItems>
  <dataFields count="1">
    <dataField name="Sum of Sales" fld="10" baseField="0" baseItem="0" numFmtId="165"/>
  </dataFields>
  <formats count="18">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 dxfId="13">
      <pivotArea type="all" dataOnly="0" outline="0" fieldPosition="0"/>
    </format>
    <format dxfId="12">
      <pivotArea outline="0" collapsedLevelsAreSubtotals="1" fieldPosition="0"/>
    </format>
    <format dxfId="11">
      <pivotArea field="4" type="button" dataOnly="0" labelOnly="1" outline="0" axis="axisRow" fieldPosition="0"/>
    </format>
    <format dxfId="10">
      <pivotArea dataOnly="0" labelOnly="1" fieldPosition="0">
        <references count="1">
          <reference field="4" count="0"/>
        </references>
      </pivotArea>
    </format>
    <format dxfId="9">
      <pivotArea dataOnly="0" labelOnly="1" grandRow="1" outline="0" fieldPosition="0"/>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82D5CD-FA45-4A84-9649-FD12039D1C95}" sourceName="Region">
  <pivotTables>
    <pivotTable tabId="3" name="PivotTable1"/>
    <pivotTable tabId="2" name="PivotTable2"/>
    <pivotTable tabId="2" name="PivotTable3"/>
  </pivotTables>
  <data>
    <tabular pivotCacheId="43856526">
      <items count="6">
        <i x="2" s="1"/>
        <i x="4" s="1"/>
        <i x="5"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6C7903-6A07-4200-8242-4837DC67D22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F1D5D-AE49-45D5-A033-B27EF242E94A}" name="Table1" displayName="Table1" ref="A1:O120" totalsRowShown="0" headerRowDxfId="77" dataDxfId="78">
  <autoFilter ref="A1:O120" xr:uid="{376F1D5D-AE49-45D5-A033-B27EF242E94A}"/>
  <tableColumns count="15">
    <tableColumn id="1" xr3:uid="{B1B981E4-ECFC-4AC1-BEF9-DC81CC4E9BA9}" name="Order ID" dataDxfId="93"/>
    <tableColumn id="2" xr3:uid="{26DA169D-38FA-4538-9954-3ECE72D46426}" name="Order Date" dataDxfId="92"/>
    <tableColumn id="3" xr3:uid="{0AA4749B-5AAA-48DF-AEB8-CB2F734ECD62}" name="Customer ID" dataDxfId="91"/>
    <tableColumn id="4" xr3:uid="{9F5A5B0B-B969-4E4F-A6E9-04D76D7808FF}" name="Customer Name" dataDxfId="90"/>
    <tableColumn id="5" xr3:uid="{A03497F5-C07C-4C49-A0F1-5698E4EFA194}" name="Region" dataDxfId="89"/>
    <tableColumn id="6" xr3:uid="{537A0062-AD1C-4C6C-8EEF-5B00590E1A7F}" name="Product" dataDxfId="88"/>
    <tableColumn id="7" xr3:uid="{42AC6C2E-1311-401E-BAAD-2A4DA46EA9DA}" name="Category" dataDxfId="87"/>
    <tableColumn id="8" xr3:uid="{DFB04B5C-C56F-4F29-8027-B7E5E1D8613F}" name="Quantity" dataDxfId="86"/>
    <tableColumn id="9" xr3:uid="{988FC3B6-B48C-4A44-A9F6-AD3D0B64141B}" name="Unit Price" dataDxfId="85"/>
    <tableColumn id="10" xr3:uid="{78AE196B-E66D-4CD9-8BCA-DE82A80D421A}" name="Discount %" dataDxfId="84"/>
    <tableColumn id="11" xr3:uid="{3F91667D-309E-4BB7-A12F-174A9F9E17D7}" name="Sales" dataDxfId="83"/>
    <tableColumn id="12" xr3:uid="{CB327141-0014-44C0-9DA7-708D534F4375}" name="Cost" dataDxfId="82"/>
    <tableColumn id="13" xr3:uid="{F803C544-5818-4328-8BCA-F9745CE1CB7E}" name="Profit" dataDxfId="81"/>
    <tableColumn id="14" xr3:uid="{5677353D-6D6A-4782-BD00-9D009D96CF51}" name="Payment Method" dataDxfId="80"/>
    <tableColumn id="15" xr3:uid="{6C4E643F-8B46-4EA6-A377-CD78E08E9B33}" name="Salesperson" dataDxfId="79"/>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2D7405-1586-45D3-B509-4655346E507A}" sourceName="Order Date">
  <pivotTables>
    <pivotTable tabId="3" name="PivotTable1"/>
  </pivotTables>
  <state minimalRefreshVersion="6" lastRefreshVersion="6" pivotCacheId="4385652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2329C45-C35A-403F-8326-36E1CE1D76C3}" cache="NativeTimeline_Order_Date" caption="Order Date" level="2" selectionLevel="2" scrollPosition="2025-06-07T00:00:00"/>
</timeline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1B737-91CE-4741-BCE9-CFA8FE706ED4}">
  <dimension ref="A1:G19"/>
  <sheetViews>
    <sheetView workbookViewId="0">
      <selection activeCell="J11" sqref="J11"/>
    </sheetView>
  </sheetViews>
  <sheetFormatPr defaultRowHeight="14.25"/>
  <cols>
    <col min="1" max="1" width="19.796875" customWidth="1"/>
    <col min="2" max="2" width="23.33203125" customWidth="1"/>
    <col min="4" max="4" width="20.46484375" customWidth="1"/>
    <col min="5" max="5" width="23.1328125" customWidth="1"/>
  </cols>
  <sheetData>
    <row r="1" spans="1:7" ht="19.5">
      <c r="A1" s="48"/>
      <c r="B1" s="48"/>
      <c r="C1" s="48"/>
      <c r="D1" s="48"/>
      <c r="E1" s="48"/>
      <c r="F1" s="48"/>
      <c r="G1" s="25"/>
    </row>
    <row r="2" spans="1:7" ht="19.5">
      <c r="A2" s="48"/>
      <c r="B2" s="48"/>
      <c r="C2" s="48"/>
      <c r="D2" s="48"/>
      <c r="E2" s="48"/>
      <c r="F2" s="48"/>
      <c r="G2" s="25"/>
    </row>
    <row r="3" spans="1:7" ht="19.5">
      <c r="A3" s="48"/>
      <c r="B3" s="48"/>
      <c r="C3" s="48"/>
      <c r="D3" s="49" t="s">
        <v>204</v>
      </c>
      <c r="E3" s="48" t="s">
        <v>206</v>
      </c>
      <c r="F3" s="48"/>
      <c r="G3" s="25"/>
    </row>
    <row r="4" spans="1:7" ht="19.5">
      <c r="A4" s="48"/>
      <c r="B4" s="48"/>
      <c r="C4" s="48"/>
      <c r="D4" s="50" t="s">
        <v>37</v>
      </c>
      <c r="E4" s="51">
        <v>400350</v>
      </c>
      <c r="F4" s="48"/>
      <c r="G4" s="25"/>
    </row>
    <row r="5" spans="1:7" ht="19.5">
      <c r="A5" s="48"/>
      <c r="B5" s="48"/>
      <c r="C5" s="48"/>
      <c r="D5" s="50" t="s">
        <v>73</v>
      </c>
      <c r="E5" s="51">
        <v>107100</v>
      </c>
      <c r="F5" s="48"/>
      <c r="G5" s="25"/>
    </row>
    <row r="6" spans="1:7" ht="19.5">
      <c r="A6" s="48"/>
      <c r="B6" s="48"/>
      <c r="C6" s="48"/>
      <c r="D6" s="50" t="s">
        <v>59</v>
      </c>
      <c r="E6" s="51">
        <v>37980</v>
      </c>
      <c r="F6" s="48"/>
      <c r="G6" s="25"/>
    </row>
    <row r="7" spans="1:7" ht="19.5">
      <c r="A7" s="48"/>
      <c r="B7" s="48"/>
      <c r="C7" s="48"/>
      <c r="D7" s="50" t="s">
        <v>75</v>
      </c>
      <c r="E7" s="51">
        <v>2295000</v>
      </c>
      <c r="F7" s="48"/>
      <c r="G7" s="25"/>
    </row>
    <row r="8" spans="1:7" ht="19.5">
      <c r="A8" s="48"/>
      <c r="B8" s="48"/>
      <c r="C8" s="48"/>
      <c r="D8" s="50" t="s">
        <v>63</v>
      </c>
      <c r="E8" s="51">
        <v>21157.5</v>
      </c>
      <c r="F8" s="48"/>
      <c r="G8" s="25"/>
    </row>
    <row r="9" spans="1:7" ht="19.5">
      <c r="A9" s="48"/>
      <c r="B9" s="48"/>
      <c r="C9" s="48"/>
      <c r="D9" s="50" t="s">
        <v>69</v>
      </c>
      <c r="E9" s="51">
        <v>2104</v>
      </c>
      <c r="F9" s="48"/>
      <c r="G9" s="25"/>
    </row>
    <row r="10" spans="1:7" ht="19.5">
      <c r="A10" s="48"/>
      <c r="B10" s="48"/>
      <c r="C10" s="48"/>
      <c r="D10" s="50" t="s">
        <v>19</v>
      </c>
      <c r="E10" s="51">
        <v>313775</v>
      </c>
      <c r="F10" s="48"/>
      <c r="G10" s="25"/>
    </row>
    <row r="11" spans="1:7" ht="19.5">
      <c r="A11" s="48"/>
      <c r="B11" s="48"/>
      <c r="C11" s="48"/>
      <c r="D11" s="50" t="s">
        <v>55</v>
      </c>
      <c r="E11" s="51">
        <v>5778</v>
      </c>
      <c r="F11" s="48"/>
      <c r="G11" s="25"/>
    </row>
    <row r="12" spans="1:7" ht="19.5">
      <c r="A12" s="49" t="s">
        <v>204</v>
      </c>
      <c r="B12" s="48" t="s">
        <v>207</v>
      </c>
      <c r="C12" s="48"/>
      <c r="D12" s="50" t="s">
        <v>79</v>
      </c>
      <c r="E12" s="51">
        <v>251250</v>
      </c>
      <c r="F12" s="48"/>
      <c r="G12" s="25"/>
    </row>
    <row r="13" spans="1:7" ht="19.5">
      <c r="A13" s="50" t="s">
        <v>28</v>
      </c>
      <c r="B13" s="51">
        <v>18620</v>
      </c>
      <c r="C13" s="48"/>
      <c r="D13" s="50" t="s">
        <v>27</v>
      </c>
      <c r="E13" s="51">
        <v>33460</v>
      </c>
      <c r="F13" s="48"/>
      <c r="G13" s="25"/>
    </row>
    <row r="14" spans="1:7" ht="19.5">
      <c r="A14" s="50" t="s">
        <v>60</v>
      </c>
      <c r="B14" s="51">
        <v>516037.5</v>
      </c>
      <c r="C14" s="48"/>
      <c r="D14" s="50" t="s">
        <v>205</v>
      </c>
      <c r="E14" s="51">
        <v>3467954.5</v>
      </c>
      <c r="F14" s="48"/>
      <c r="G14" s="25"/>
    </row>
    <row r="15" spans="1:7" ht="19.5">
      <c r="A15" s="50" t="s">
        <v>20</v>
      </c>
      <c r="B15" s="51">
        <v>168125</v>
      </c>
      <c r="C15" s="48"/>
      <c r="D15" s="48"/>
      <c r="E15" s="48"/>
      <c r="F15" s="48"/>
      <c r="G15" s="25"/>
    </row>
    <row r="16" spans="1:7" ht="19.5">
      <c r="A16" s="50" t="s">
        <v>56</v>
      </c>
      <c r="B16" s="51">
        <v>3937</v>
      </c>
      <c r="C16" s="48"/>
      <c r="D16" s="48"/>
      <c r="E16" s="48"/>
      <c r="F16" s="48"/>
      <c r="G16" s="25"/>
    </row>
    <row r="17" spans="1:7" ht="19.5">
      <c r="A17" s="50" t="s">
        <v>205</v>
      </c>
      <c r="B17" s="51">
        <v>706719.5</v>
      </c>
      <c r="C17" s="48"/>
      <c r="D17" s="48"/>
      <c r="E17" s="48"/>
      <c r="F17" s="48"/>
      <c r="G17" s="25"/>
    </row>
    <row r="18" spans="1:7" ht="19.5">
      <c r="A18" s="48"/>
      <c r="B18" s="48"/>
      <c r="C18" s="48"/>
      <c r="D18" s="48"/>
      <c r="E18" s="48"/>
      <c r="F18" s="48"/>
      <c r="G18" s="25"/>
    </row>
    <row r="19" spans="1:7" ht="18">
      <c r="A19" s="47"/>
      <c r="B19" s="47"/>
      <c r="C19" s="47"/>
      <c r="D19" s="47"/>
      <c r="E19" s="47"/>
      <c r="F19" s="4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FE91-24F4-4D48-8F21-A689D813AC2F}">
  <dimension ref="A1:C14"/>
  <sheetViews>
    <sheetView workbookViewId="0">
      <selection activeCell="G6" sqref="G6"/>
    </sheetView>
  </sheetViews>
  <sheetFormatPr defaultRowHeight="14.25"/>
  <cols>
    <col min="1" max="1" width="29.46484375" customWidth="1"/>
    <col min="2" max="2" width="28.6640625" customWidth="1"/>
  </cols>
  <sheetData>
    <row r="1" spans="1:3" ht="23.25">
      <c r="A1" s="52"/>
      <c r="B1" s="52"/>
      <c r="C1" s="52"/>
    </row>
    <row r="2" spans="1:3" ht="23.25">
      <c r="A2" s="53"/>
      <c r="B2" s="53"/>
      <c r="C2" s="52"/>
    </row>
    <row r="3" spans="1:3" ht="23.25">
      <c r="A3" s="54" t="s">
        <v>204</v>
      </c>
      <c r="B3" s="53" t="s">
        <v>206</v>
      </c>
      <c r="C3" s="52"/>
    </row>
    <row r="4" spans="1:3" ht="23.25">
      <c r="A4" s="55" t="s">
        <v>47</v>
      </c>
      <c r="B4" s="56">
        <v>760844.5</v>
      </c>
      <c r="C4" s="52"/>
    </row>
    <row r="5" spans="1:3" ht="23.25">
      <c r="A5" s="55" t="s">
        <v>62</v>
      </c>
      <c r="B5" s="56">
        <v>428073.5</v>
      </c>
      <c r="C5" s="52"/>
    </row>
    <row r="6" spans="1:3" ht="23.25">
      <c r="A6" s="55" t="s">
        <v>77</v>
      </c>
      <c r="B6" s="56">
        <v>804316.5</v>
      </c>
      <c r="C6" s="52"/>
    </row>
    <row r="7" spans="1:3" ht="23.25">
      <c r="A7" s="55" t="s">
        <v>26</v>
      </c>
      <c r="B7" s="56">
        <v>824424</v>
      </c>
      <c r="C7" s="52"/>
    </row>
    <row r="8" spans="1:3" ht="23.25">
      <c r="A8" s="55" t="s">
        <v>203</v>
      </c>
      <c r="B8" s="56">
        <v>120</v>
      </c>
      <c r="C8" s="52"/>
    </row>
    <row r="9" spans="1:3" ht="23.25">
      <c r="A9" s="55" t="s">
        <v>18</v>
      </c>
      <c r="B9" s="56">
        <v>650176</v>
      </c>
      <c r="C9" s="52"/>
    </row>
    <row r="10" spans="1:3" ht="23.25">
      <c r="A10" s="55" t="s">
        <v>205</v>
      </c>
      <c r="B10" s="56">
        <v>3467954.5</v>
      </c>
      <c r="C10" s="52"/>
    </row>
    <row r="11" spans="1:3" ht="23.25">
      <c r="A11" s="52"/>
      <c r="B11" s="52"/>
      <c r="C11" s="52"/>
    </row>
    <row r="12" spans="1:3" ht="23.25">
      <c r="A12" s="52"/>
      <c r="B12" s="52"/>
      <c r="C12" s="52"/>
    </row>
    <row r="13" spans="1:3" ht="23.25">
      <c r="A13" s="52"/>
      <c r="B13" s="52"/>
      <c r="C13" s="52"/>
    </row>
    <row r="14" spans="1:3" ht="23.25">
      <c r="A14" s="52"/>
      <c r="B14" s="52"/>
      <c r="C14"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9250-B14D-4B30-8F7E-668723A1AF03}">
  <dimension ref="A1:F5"/>
  <sheetViews>
    <sheetView workbookViewId="0">
      <selection sqref="A1:E1"/>
    </sheetView>
  </sheetViews>
  <sheetFormatPr defaultRowHeight="14.25"/>
  <cols>
    <col min="1" max="1" width="14" bestFit="1" customWidth="1"/>
    <col min="2" max="2" width="14.86328125" customWidth="1"/>
    <col min="4" max="4" width="13.86328125" customWidth="1"/>
    <col min="6" max="6" width="18.19921875" customWidth="1"/>
  </cols>
  <sheetData>
    <row r="1" spans="1:6" ht="23.25">
      <c r="A1" s="57" t="s">
        <v>208</v>
      </c>
      <c r="B1" s="57"/>
      <c r="C1" s="57"/>
      <c r="D1" s="57"/>
      <c r="E1" s="58"/>
      <c r="F1" s="8"/>
    </row>
    <row r="2" spans="1:6" ht="15.75">
      <c r="A2" s="8"/>
      <c r="B2" s="8"/>
      <c r="C2" s="8"/>
      <c r="D2" s="8"/>
      <c r="E2" s="8"/>
      <c r="F2" s="8"/>
    </row>
    <row r="3" spans="1:6" ht="15.75">
      <c r="A3" s="10" t="s">
        <v>2</v>
      </c>
      <c r="B3" s="10" t="s">
        <v>3</v>
      </c>
      <c r="C3" s="10" t="s">
        <v>4</v>
      </c>
      <c r="D3" s="10" t="s">
        <v>10</v>
      </c>
      <c r="E3" s="9"/>
      <c r="F3" s="9"/>
    </row>
    <row r="4" spans="1:6" ht="15.75">
      <c r="A4" s="11" t="s">
        <v>24</v>
      </c>
      <c r="B4" s="11" t="str">
        <f>VLOOKUP(A4,'Cleaned Data'!C:D,2,FALSE)</f>
        <v>Aarav Shah</v>
      </c>
      <c r="C4" s="11" t="str">
        <f>INDEX('Cleaned Data'!E:E,MATCH(A4,'Cleaned Data'!C:C,0))</f>
        <v>Surat</v>
      </c>
      <c r="D4" s="11">
        <f>VLOOKUP(A4,'Cleaned Data'!C:H,6,FALSE)</f>
        <v>6</v>
      </c>
      <c r="E4" s="11"/>
      <c r="F4" s="11" t="s">
        <v>209</v>
      </c>
    </row>
    <row r="5" spans="1:6" ht="15.75">
      <c r="A5" s="11"/>
      <c r="B5" s="11"/>
      <c r="C5" s="11"/>
      <c r="D5" s="11"/>
      <c r="E5" s="11"/>
      <c r="F5" s="11" t="str">
        <f>IF(A4="C001","Customer Found","Not Found")</f>
        <v>Customer Found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DF8F-E178-4FFE-88FB-C344D94AAFAF}">
  <dimension ref="A1:O7"/>
  <sheetViews>
    <sheetView workbookViewId="0">
      <selection activeCell="H4" sqref="H4"/>
    </sheetView>
  </sheetViews>
  <sheetFormatPr defaultRowHeight="14.25"/>
  <cols>
    <col min="1" max="1" width="17.06640625" customWidth="1"/>
    <col min="3" max="3" width="11.265625" bestFit="1" customWidth="1"/>
    <col min="5" max="5" width="17.86328125" customWidth="1"/>
  </cols>
  <sheetData>
    <row r="1" spans="1:15" ht="21">
      <c r="A1" s="21" t="s">
        <v>210</v>
      </c>
      <c r="B1" s="21"/>
      <c r="C1" s="21"/>
      <c r="D1" s="21"/>
      <c r="E1" s="22"/>
    </row>
    <row r="3" spans="1:15" ht="23.25">
      <c r="A3" s="59" t="s">
        <v>211</v>
      </c>
      <c r="B3" s="59"/>
      <c r="C3" s="59" t="s">
        <v>212</v>
      </c>
      <c r="D3" s="59"/>
      <c r="E3" s="59" t="s">
        <v>234</v>
      </c>
    </row>
    <row r="4" spans="1:15">
      <c r="A4" s="60">
        <f>SUM('Cleaned Data'!K:K)</f>
        <v>3467954.5</v>
      </c>
      <c r="B4" s="60"/>
      <c r="C4" s="60">
        <f>SUM('Cleaned Data'!M:M)</f>
        <v>706719.5</v>
      </c>
      <c r="D4" s="60"/>
      <c r="E4" s="60">
        <f>COUNTA('Cleaned Data'!E:E)-1</f>
        <v>119</v>
      </c>
    </row>
    <row r="6" spans="1:15">
      <c r="A6" s="15" t="s">
        <v>213</v>
      </c>
      <c r="B6" s="16"/>
      <c r="C6" s="16"/>
      <c r="D6" s="17"/>
      <c r="E6" s="18" t="s">
        <v>214</v>
      </c>
      <c r="F6" s="19"/>
      <c r="G6" s="19"/>
      <c r="H6" s="19"/>
      <c r="I6" s="19"/>
      <c r="J6" s="19"/>
      <c r="K6" s="19"/>
      <c r="L6" s="19"/>
      <c r="M6" s="20"/>
      <c r="N6" s="20"/>
      <c r="O6" s="13"/>
    </row>
    <row r="7" spans="1:15">
      <c r="M7" s="14"/>
      <c r="N7" s="14"/>
      <c r="O7"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627EE-9B59-43F3-B5DF-0F5393B344DD}">
  <dimension ref="A1:B11"/>
  <sheetViews>
    <sheetView workbookViewId="0">
      <selection sqref="A1:B1"/>
    </sheetView>
  </sheetViews>
  <sheetFormatPr defaultRowHeight="14.25"/>
  <cols>
    <col min="1" max="1" width="24.3984375" customWidth="1"/>
    <col min="2" max="2" width="55.3984375" customWidth="1"/>
    <col min="3" max="3" width="9.06640625" customWidth="1"/>
  </cols>
  <sheetData>
    <row r="1" spans="1:2" ht="23.25">
      <c r="A1" s="26" t="s">
        <v>215</v>
      </c>
      <c r="B1" s="26"/>
    </row>
    <row r="2" spans="1:2" ht="15">
      <c r="A2" s="24" t="s">
        <v>216</v>
      </c>
      <c r="B2" s="24" t="s">
        <v>232</v>
      </c>
    </row>
    <row r="3" spans="1:2" ht="15">
      <c r="A3" s="24" t="s">
        <v>217</v>
      </c>
      <c r="B3" s="24" t="s">
        <v>280</v>
      </c>
    </row>
    <row r="4" spans="1:2" ht="15">
      <c r="A4" s="24" t="s">
        <v>218</v>
      </c>
      <c r="B4" s="24" t="s">
        <v>225</v>
      </c>
    </row>
    <row r="5" spans="1:2" ht="15">
      <c r="A5" s="24" t="s">
        <v>219</v>
      </c>
      <c r="B5" s="24" t="s">
        <v>226</v>
      </c>
    </row>
    <row r="6" spans="1:2" ht="15">
      <c r="A6" s="24" t="s">
        <v>220</v>
      </c>
      <c r="B6" s="24" t="s">
        <v>227</v>
      </c>
    </row>
    <row r="7" spans="1:2" ht="15">
      <c r="A7" s="24" t="s">
        <v>221</v>
      </c>
      <c r="B7" s="24" t="s">
        <v>228</v>
      </c>
    </row>
    <row r="8" spans="1:2" ht="15">
      <c r="A8" s="24" t="s">
        <v>222</v>
      </c>
      <c r="B8" s="24" t="s">
        <v>229</v>
      </c>
    </row>
    <row r="9" spans="1:2" ht="15">
      <c r="A9" s="24" t="s">
        <v>223</v>
      </c>
      <c r="B9" s="24" t="s">
        <v>230</v>
      </c>
    </row>
    <row r="10" spans="1:2" ht="15">
      <c r="A10" s="24" t="s">
        <v>224</v>
      </c>
      <c r="B10" s="24" t="s">
        <v>231</v>
      </c>
    </row>
    <row r="11" spans="1:2">
      <c r="A11" s="25"/>
      <c r="B11"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EDD1E-F629-410B-90E8-93ADB982247C}">
  <dimension ref="A1:A12"/>
  <sheetViews>
    <sheetView workbookViewId="0">
      <selection activeCell="C8" sqref="C8"/>
    </sheetView>
  </sheetViews>
  <sheetFormatPr defaultRowHeight="14.25"/>
  <cols>
    <col min="1" max="1" width="28" customWidth="1"/>
  </cols>
  <sheetData>
    <row r="1" spans="1:1" ht="19.5">
      <c r="A1" s="27" t="s">
        <v>233</v>
      </c>
    </row>
    <row r="2" spans="1:1" ht="19.5">
      <c r="A2" s="28"/>
    </row>
    <row r="3" spans="1:1" ht="19.5">
      <c r="A3" s="28" t="s">
        <v>211</v>
      </c>
    </row>
    <row r="4" spans="1:1" ht="19.5">
      <c r="A4" s="28" t="s">
        <v>212</v>
      </c>
    </row>
    <row r="5" spans="1:1" ht="19.5">
      <c r="A5" s="28" t="s">
        <v>234</v>
      </c>
    </row>
    <row r="6" spans="1:1" ht="19.5">
      <c r="A6" s="28" t="s">
        <v>235</v>
      </c>
    </row>
    <row r="7" spans="1:1" ht="19.5">
      <c r="A7" s="28" t="s">
        <v>236</v>
      </c>
    </row>
    <row r="8" spans="1:1" ht="19.5">
      <c r="A8" s="28" t="s">
        <v>237</v>
      </c>
    </row>
    <row r="9" spans="1:1" ht="19.5">
      <c r="A9" s="28" t="s">
        <v>238</v>
      </c>
    </row>
    <row r="10" spans="1:1" ht="19.5">
      <c r="A10" s="28" t="s">
        <v>239</v>
      </c>
    </row>
    <row r="11" spans="1:1" ht="19.5">
      <c r="A11" s="28" t="s">
        <v>240</v>
      </c>
    </row>
    <row r="12" spans="1:1" ht="19.899999999999999" thickBot="1">
      <c r="A12" s="29" t="s">
        <v>241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EC1E-8CD3-477D-BBEC-43CFEB19D01E}">
  <dimension ref="A1:O120"/>
  <sheetViews>
    <sheetView workbookViewId="0">
      <selection activeCell="H16" sqref="H16"/>
    </sheetView>
  </sheetViews>
  <sheetFormatPr defaultRowHeight="14.25"/>
  <cols>
    <col min="1" max="1" width="9.53125" customWidth="1"/>
    <col min="2" max="2" width="16.3984375" customWidth="1"/>
    <col min="3" max="3" width="17.33203125" customWidth="1"/>
    <col min="4" max="4" width="18.19921875" customWidth="1"/>
    <col min="6" max="6" width="14.19921875" customWidth="1"/>
    <col min="7" max="7" width="13.06640625" customWidth="1"/>
    <col min="8" max="8" width="9.73046875" customWidth="1"/>
    <col min="9" max="9" width="14.6640625" customWidth="1"/>
    <col min="10" max="10" width="11.59765625" customWidth="1"/>
    <col min="11" max="11" width="15.06640625" customWidth="1"/>
    <col min="12" max="12" width="14.73046875" customWidth="1"/>
    <col min="13" max="13" width="17.19921875" customWidth="1"/>
    <col min="14" max="14" width="16.796875" customWidth="1"/>
    <col min="15" max="15" width="14.13281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v>45658</v>
      </c>
      <c r="C2" s="2" t="s">
        <v>16</v>
      </c>
      <c r="D2" s="2" t="s">
        <v>17</v>
      </c>
      <c r="E2" s="2" t="s">
        <v>18</v>
      </c>
      <c r="F2" s="2" t="s">
        <v>19</v>
      </c>
      <c r="G2" s="2" t="s">
        <v>20</v>
      </c>
      <c r="H2" s="2">
        <v>7</v>
      </c>
      <c r="I2" s="4">
        <v>5500</v>
      </c>
      <c r="J2" s="5">
        <v>0.2</v>
      </c>
      <c r="K2" s="4">
        <v>30800</v>
      </c>
      <c r="L2" s="4">
        <v>25200</v>
      </c>
      <c r="M2" s="4">
        <v>5600</v>
      </c>
      <c r="N2" s="2" t="s">
        <v>21</v>
      </c>
      <c r="O2" s="2" t="s">
        <v>22</v>
      </c>
    </row>
    <row r="3" spans="1:15">
      <c r="A3" s="2" t="s">
        <v>23</v>
      </c>
      <c r="B3" s="3">
        <v>45667</v>
      </c>
      <c r="C3" s="2" t="s">
        <v>24</v>
      </c>
      <c r="D3" s="2" t="s">
        <v>25</v>
      </c>
      <c r="E3" s="2" t="s">
        <v>26</v>
      </c>
      <c r="F3" s="2" t="s">
        <v>27</v>
      </c>
      <c r="G3" s="2" t="s">
        <v>28</v>
      </c>
      <c r="H3" s="2">
        <v>6</v>
      </c>
      <c r="I3" s="4">
        <v>350</v>
      </c>
      <c r="J3" s="5">
        <v>0.15</v>
      </c>
      <c r="K3" s="4">
        <v>1785</v>
      </c>
      <c r="L3" s="4">
        <v>840</v>
      </c>
      <c r="M3" s="4">
        <v>945</v>
      </c>
      <c r="N3" s="2" t="s">
        <v>21</v>
      </c>
      <c r="O3" s="2" t="s">
        <v>29</v>
      </c>
    </row>
    <row r="4" spans="1:15">
      <c r="A4" s="2" t="s">
        <v>30</v>
      </c>
      <c r="B4" s="3">
        <v>45673</v>
      </c>
      <c r="C4" s="2" t="s">
        <v>31</v>
      </c>
      <c r="D4" s="2" t="s">
        <v>32</v>
      </c>
      <c r="E4" s="2" t="s">
        <v>26</v>
      </c>
      <c r="F4" s="2" t="s">
        <v>27</v>
      </c>
      <c r="G4" s="2" t="s">
        <v>28</v>
      </c>
      <c r="H4" s="2">
        <v>7</v>
      </c>
      <c r="I4" s="4">
        <v>350</v>
      </c>
      <c r="J4" s="5">
        <v>0</v>
      </c>
      <c r="K4" s="4">
        <v>2450</v>
      </c>
      <c r="L4" s="4">
        <v>980</v>
      </c>
      <c r="M4" s="4">
        <v>1470</v>
      </c>
      <c r="N4" s="2" t="s">
        <v>33</v>
      </c>
      <c r="O4" s="2" t="s">
        <v>22</v>
      </c>
    </row>
    <row r="5" spans="1:15">
      <c r="A5" s="2" t="s">
        <v>34</v>
      </c>
      <c r="B5" s="3">
        <v>45674</v>
      </c>
      <c r="C5" s="2" t="s">
        <v>35</v>
      </c>
      <c r="D5" s="2" t="s">
        <v>36</v>
      </c>
      <c r="E5" s="2" t="s">
        <v>18</v>
      </c>
      <c r="F5" s="2" t="s">
        <v>37</v>
      </c>
      <c r="G5" s="2" t="s">
        <v>20</v>
      </c>
      <c r="H5" s="2">
        <v>1</v>
      </c>
      <c r="I5" s="4">
        <v>8500</v>
      </c>
      <c r="J5" s="5">
        <v>0.05</v>
      </c>
      <c r="K5" s="4">
        <v>8075</v>
      </c>
      <c r="L5" s="4">
        <v>6000</v>
      </c>
      <c r="M5" s="4">
        <v>2075</v>
      </c>
      <c r="N5" s="2" t="s">
        <v>38</v>
      </c>
      <c r="O5" s="2" t="s">
        <v>29</v>
      </c>
    </row>
    <row r="6" spans="1:15">
      <c r="A6" s="2" t="s">
        <v>39</v>
      </c>
      <c r="B6" s="3">
        <v>45679</v>
      </c>
      <c r="C6" s="2" t="s">
        <v>40</v>
      </c>
      <c r="D6" s="2" t="s">
        <v>41</v>
      </c>
      <c r="E6" s="2" t="s">
        <v>18</v>
      </c>
      <c r="F6" s="2" t="s">
        <v>19</v>
      </c>
      <c r="G6" s="2" t="s">
        <v>20</v>
      </c>
      <c r="H6" s="2">
        <v>2</v>
      </c>
      <c r="I6" s="4">
        <v>5500</v>
      </c>
      <c r="J6" s="5">
        <v>0.2</v>
      </c>
      <c r="K6" s="4">
        <v>8800</v>
      </c>
      <c r="L6" s="4">
        <v>7200</v>
      </c>
      <c r="M6" s="4">
        <v>1600</v>
      </c>
      <c r="N6" s="2" t="s">
        <v>42</v>
      </c>
      <c r="O6" s="2" t="s">
        <v>43</v>
      </c>
    </row>
    <row r="7" spans="1:15">
      <c r="A7" s="2" t="s">
        <v>44</v>
      </c>
      <c r="B7" s="3">
        <v>45684</v>
      </c>
      <c r="C7" s="2" t="s">
        <v>45</v>
      </c>
      <c r="D7" s="2" t="s">
        <v>46</v>
      </c>
      <c r="E7" s="2" t="s">
        <v>47</v>
      </c>
      <c r="F7" s="2" t="s">
        <v>37</v>
      </c>
      <c r="G7" s="2" t="s">
        <v>20</v>
      </c>
      <c r="H7" s="2">
        <v>8</v>
      </c>
      <c r="I7" s="4">
        <v>8500</v>
      </c>
      <c r="J7" s="5">
        <v>0.15</v>
      </c>
      <c r="K7" s="4">
        <v>57800</v>
      </c>
      <c r="L7" s="4">
        <v>48000</v>
      </c>
      <c r="M7" s="4">
        <v>9800</v>
      </c>
      <c r="N7" s="2" t="s">
        <v>21</v>
      </c>
      <c r="O7" s="2" t="s">
        <v>48</v>
      </c>
    </row>
    <row r="8" spans="1:15">
      <c r="A8" s="2" t="s">
        <v>49</v>
      </c>
      <c r="B8" s="3">
        <v>45684</v>
      </c>
      <c r="C8" s="2" t="s">
        <v>50</v>
      </c>
      <c r="D8" s="2" t="s">
        <v>51</v>
      </c>
      <c r="E8" s="2" t="s">
        <v>26</v>
      </c>
      <c r="F8" s="2" t="s">
        <v>19</v>
      </c>
      <c r="G8" s="2" t="s">
        <v>20</v>
      </c>
      <c r="H8" s="2">
        <v>8</v>
      </c>
      <c r="I8" s="4">
        <v>5500</v>
      </c>
      <c r="J8" s="5">
        <v>0.1</v>
      </c>
      <c r="K8" s="4">
        <v>39600</v>
      </c>
      <c r="L8" s="4">
        <v>28800</v>
      </c>
      <c r="M8" s="4">
        <v>10800</v>
      </c>
      <c r="N8" s="2" t="s">
        <v>38</v>
      </c>
      <c r="O8" s="2" t="s">
        <v>29</v>
      </c>
    </row>
    <row r="9" spans="1:15">
      <c r="A9" s="2" t="s">
        <v>52</v>
      </c>
      <c r="B9" s="3">
        <v>45689</v>
      </c>
      <c r="C9" s="2" t="s">
        <v>53</v>
      </c>
      <c r="D9" s="2" t="s">
        <v>54</v>
      </c>
      <c r="E9" s="6" t="s">
        <v>203</v>
      </c>
      <c r="F9" s="2" t="s">
        <v>55</v>
      </c>
      <c r="G9" s="2" t="s">
        <v>56</v>
      </c>
      <c r="H9" s="2">
        <v>1</v>
      </c>
      <c r="I9" s="4">
        <v>120</v>
      </c>
      <c r="J9" s="5">
        <v>0</v>
      </c>
      <c r="K9" s="4">
        <v>120</v>
      </c>
      <c r="L9" s="4">
        <v>55</v>
      </c>
      <c r="M9" s="4">
        <v>65</v>
      </c>
      <c r="N9" s="2" t="s">
        <v>21</v>
      </c>
      <c r="O9" s="2" t="s">
        <v>57</v>
      </c>
    </row>
    <row r="10" spans="1:15">
      <c r="A10" s="2" t="s">
        <v>58</v>
      </c>
      <c r="B10" s="3">
        <v>45692</v>
      </c>
      <c r="C10" s="2" t="s">
        <v>31</v>
      </c>
      <c r="D10" s="2" t="s">
        <v>32</v>
      </c>
      <c r="E10" s="2" t="s">
        <v>47</v>
      </c>
      <c r="F10" s="2" t="s">
        <v>59</v>
      </c>
      <c r="G10" s="2" t="s">
        <v>60</v>
      </c>
      <c r="H10" s="2">
        <v>2</v>
      </c>
      <c r="I10" s="4">
        <v>1200</v>
      </c>
      <c r="J10" s="5">
        <v>0.2</v>
      </c>
      <c r="K10" s="4">
        <v>1920</v>
      </c>
      <c r="L10" s="4">
        <v>1300</v>
      </c>
      <c r="M10" s="4">
        <v>620</v>
      </c>
      <c r="N10" s="2" t="s">
        <v>38</v>
      </c>
      <c r="O10" s="2" t="s">
        <v>57</v>
      </c>
    </row>
    <row r="11" spans="1:15">
      <c r="A11" s="2" t="s">
        <v>61</v>
      </c>
      <c r="B11" s="3">
        <v>45694</v>
      </c>
      <c r="C11" s="2" t="s">
        <v>35</v>
      </c>
      <c r="D11" s="2" t="s">
        <v>36</v>
      </c>
      <c r="E11" s="2" t="s">
        <v>62</v>
      </c>
      <c r="F11" s="2" t="s">
        <v>63</v>
      </c>
      <c r="G11" s="2" t="s">
        <v>60</v>
      </c>
      <c r="H11" s="2">
        <v>1</v>
      </c>
      <c r="I11" s="4">
        <v>650</v>
      </c>
      <c r="J11" s="5">
        <v>0.1</v>
      </c>
      <c r="K11" s="4">
        <v>585</v>
      </c>
      <c r="L11" s="4">
        <v>300</v>
      </c>
      <c r="M11" s="4">
        <v>285</v>
      </c>
      <c r="N11" s="2" t="s">
        <v>33</v>
      </c>
      <c r="O11" s="2" t="s">
        <v>29</v>
      </c>
    </row>
    <row r="12" spans="1:15">
      <c r="A12" s="2" t="s">
        <v>64</v>
      </c>
      <c r="B12" s="3">
        <v>45695</v>
      </c>
      <c r="C12" s="2" t="s">
        <v>40</v>
      </c>
      <c r="D12" s="2" t="s">
        <v>41</v>
      </c>
      <c r="E12" s="2" t="s">
        <v>62</v>
      </c>
      <c r="F12" s="2" t="s">
        <v>63</v>
      </c>
      <c r="G12" s="2" t="s">
        <v>60</v>
      </c>
      <c r="H12" s="2">
        <v>7</v>
      </c>
      <c r="I12" s="4">
        <v>650</v>
      </c>
      <c r="J12" s="5">
        <v>0.15</v>
      </c>
      <c r="K12" s="4">
        <v>3867.5</v>
      </c>
      <c r="L12" s="4">
        <v>2100</v>
      </c>
      <c r="M12" s="4">
        <v>1767.5</v>
      </c>
      <c r="N12" s="2" t="s">
        <v>65</v>
      </c>
      <c r="O12" s="2" t="s">
        <v>22</v>
      </c>
    </row>
    <row r="13" spans="1:15">
      <c r="A13" s="2" t="s">
        <v>66</v>
      </c>
      <c r="B13" s="3">
        <v>45696</v>
      </c>
      <c r="C13" s="2" t="s">
        <v>67</v>
      </c>
      <c r="D13" s="2" t="s">
        <v>68</v>
      </c>
      <c r="E13" s="2" t="s">
        <v>47</v>
      </c>
      <c r="F13" s="2" t="s">
        <v>69</v>
      </c>
      <c r="G13" s="2" t="s">
        <v>56</v>
      </c>
      <c r="H13" s="2">
        <v>1</v>
      </c>
      <c r="I13" s="4">
        <v>80</v>
      </c>
      <c r="J13" s="5">
        <v>0</v>
      </c>
      <c r="K13" s="4">
        <v>80</v>
      </c>
      <c r="L13" s="4">
        <v>35</v>
      </c>
      <c r="M13" s="4">
        <v>45</v>
      </c>
      <c r="N13" s="2" t="s">
        <v>42</v>
      </c>
      <c r="O13" s="2" t="s">
        <v>57</v>
      </c>
    </row>
    <row r="14" spans="1:15">
      <c r="A14" s="2" t="s">
        <v>70</v>
      </c>
      <c r="B14" s="3">
        <v>45697</v>
      </c>
      <c r="C14" s="2" t="s">
        <v>71</v>
      </c>
      <c r="D14" s="2" t="s">
        <v>72</v>
      </c>
      <c r="E14" s="2" t="s">
        <v>18</v>
      </c>
      <c r="F14" s="2" t="s">
        <v>73</v>
      </c>
      <c r="G14" s="2" t="s">
        <v>60</v>
      </c>
      <c r="H14" s="2">
        <v>5</v>
      </c>
      <c r="I14" s="4">
        <v>1800</v>
      </c>
      <c r="J14" s="5">
        <v>0.15</v>
      </c>
      <c r="K14" s="4">
        <v>7650</v>
      </c>
      <c r="L14" s="4">
        <v>4750</v>
      </c>
      <c r="M14" s="4">
        <v>2900</v>
      </c>
      <c r="N14" s="2" t="s">
        <v>33</v>
      </c>
      <c r="O14" s="2" t="s">
        <v>29</v>
      </c>
    </row>
    <row r="15" spans="1:15">
      <c r="A15" s="2" t="s">
        <v>74</v>
      </c>
      <c r="B15" s="3">
        <v>45698</v>
      </c>
      <c r="C15" s="2" t="s">
        <v>35</v>
      </c>
      <c r="D15" s="2" t="s">
        <v>36</v>
      </c>
      <c r="E15" s="2" t="s">
        <v>26</v>
      </c>
      <c r="F15" s="2" t="s">
        <v>75</v>
      </c>
      <c r="G15" s="2" t="s">
        <v>60</v>
      </c>
      <c r="H15" s="2">
        <v>4</v>
      </c>
      <c r="I15" s="4">
        <v>45000</v>
      </c>
      <c r="J15" s="5">
        <v>0.2</v>
      </c>
      <c r="K15" s="4">
        <v>144000</v>
      </c>
      <c r="L15" s="4">
        <v>132000</v>
      </c>
      <c r="M15" s="4">
        <v>12000</v>
      </c>
      <c r="N15" s="2" t="s">
        <v>38</v>
      </c>
      <c r="O15" s="2" t="s">
        <v>57</v>
      </c>
    </row>
    <row r="16" spans="1:15">
      <c r="A16" s="2" t="s">
        <v>76</v>
      </c>
      <c r="B16" s="3">
        <v>45699</v>
      </c>
      <c r="C16" s="2" t="s">
        <v>16</v>
      </c>
      <c r="D16" s="2" t="s">
        <v>17</v>
      </c>
      <c r="E16" s="2" t="s">
        <v>77</v>
      </c>
      <c r="F16" s="2" t="s">
        <v>73</v>
      </c>
      <c r="G16" s="2" t="s">
        <v>60</v>
      </c>
      <c r="H16" s="2">
        <v>1</v>
      </c>
      <c r="I16" s="4">
        <v>1800</v>
      </c>
      <c r="J16" s="5">
        <v>0.2</v>
      </c>
      <c r="K16" s="4">
        <v>1440</v>
      </c>
      <c r="L16" s="4">
        <v>950</v>
      </c>
      <c r="M16" s="4">
        <v>490</v>
      </c>
      <c r="N16" s="2" t="s">
        <v>42</v>
      </c>
      <c r="O16" s="2" t="s">
        <v>48</v>
      </c>
    </row>
    <row r="17" spans="1:15">
      <c r="A17" s="2" t="s">
        <v>78</v>
      </c>
      <c r="B17" s="3">
        <v>45699</v>
      </c>
      <c r="C17" s="2" t="s">
        <v>45</v>
      </c>
      <c r="D17" s="2" t="s">
        <v>46</v>
      </c>
      <c r="E17" s="2" t="s">
        <v>62</v>
      </c>
      <c r="F17" s="2" t="s">
        <v>79</v>
      </c>
      <c r="G17" s="2" t="s">
        <v>60</v>
      </c>
      <c r="H17" s="2">
        <v>8</v>
      </c>
      <c r="I17" s="4">
        <v>12500</v>
      </c>
      <c r="J17" s="5">
        <v>0.15</v>
      </c>
      <c r="K17" s="4">
        <v>85000</v>
      </c>
      <c r="L17" s="4">
        <v>73600</v>
      </c>
      <c r="M17" s="4">
        <v>11400</v>
      </c>
      <c r="N17" s="2" t="s">
        <v>65</v>
      </c>
      <c r="O17" s="2" t="s">
        <v>43</v>
      </c>
    </row>
    <row r="18" spans="1:15">
      <c r="A18" s="2" t="s">
        <v>80</v>
      </c>
      <c r="B18" s="3">
        <v>45703</v>
      </c>
      <c r="C18" s="2" t="s">
        <v>81</v>
      </c>
      <c r="D18" s="2" t="s">
        <v>82</v>
      </c>
      <c r="E18" s="2" t="s">
        <v>18</v>
      </c>
      <c r="F18" s="2" t="s">
        <v>79</v>
      </c>
      <c r="G18" s="2" t="s">
        <v>60</v>
      </c>
      <c r="H18" s="2">
        <v>1</v>
      </c>
      <c r="I18" s="4">
        <v>12500</v>
      </c>
      <c r="J18" s="5">
        <v>0.15</v>
      </c>
      <c r="K18" s="4">
        <v>10625</v>
      </c>
      <c r="L18" s="4">
        <v>9200</v>
      </c>
      <c r="M18" s="4">
        <v>1425</v>
      </c>
      <c r="N18" s="2" t="s">
        <v>21</v>
      </c>
      <c r="O18" s="2" t="s">
        <v>29</v>
      </c>
    </row>
    <row r="19" spans="1:15">
      <c r="A19" s="2" t="s">
        <v>83</v>
      </c>
      <c r="B19" s="3">
        <v>45704</v>
      </c>
      <c r="C19" s="2" t="s">
        <v>84</v>
      </c>
      <c r="D19" s="2" t="s">
        <v>85</v>
      </c>
      <c r="E19" s="2" t="s">
        <v>47</v>
      </c>
      <c r="F19" s="2" t="s">
        <v>27</v>
      </c>
      <c r="G19" s="2" t="s">
        <v>28</v>
      </c>
      <c r="H19" s="2">
        <v>5</v>
      </c>
      <c r="I19" s="4">
        <v>350</v>
      </c>
      <c r="J19" s="5">
        <v>0</v>
      </c>
      <c r="K19" s="4">
        <v>1750</v>
      </c>
      <c r="L19" s="4">
        <v>700</v>
      </c>
      <c r="M19" s="4">
        <v>1050</v>
      </c>
      <c r="N19" s="2" t="s">
        <v>42</v>
      </c>
      <c r="O19" s="2" t="s">
        <v>48</v>
      </c>
    </row>
    <row r="20" spans="1:15">
      <c r="A20" s="2" t="s">
        <v>86</v>
      </c>
      <c r="B20" s="3">
        <v>45704</v>
      </c>
      <c r="C20" s="2" t="s">
        <v>87</v>
      </c>
      <c r="D20" s="2" t="s">
        <v>88</v>
      </c>
      <c r="E20" s="2" t="s">
        <v>77</v>
      </c>
      <c r="F20" s="2" t="s">
        <v>27</v>
      </c>
      <c r="G20" s="2" t="s">
        <v>28</v>
      </c>
      <c r="H20" s="2">
        <v>7</v>
      </c>
      <c r="I20" s="4">
        <v>350</v>
      </c>
      <c r="J20" s="5">
        <v>0.15</v>
      </c>
      <c r="K20" s="4">
        <v>2082.5</v>
      </c>
      <c r="L20" s="4">
        <v>980</v>
      </c>
      <c r="M20" s="4">
        <v>1102.5</v>
      </c>
      <c r="N20" s="2" t="s">
        <v>21</v>
      </c>
      <c r="O20" s="2" t="s">
        <v>43</v>
      </c>
    </row>
    <row r="21" spans="1:15">
      <c r="A21" s="2" t="s">
        <v>89</v>
      </c>
      <c r="B21" s="3">
        <v>45705</v>
      </c>
      <c r="C21" s="2" t="s">
        <v>90</v>
      </c>
      <c r="D21" s="2" t="s">
        <v>91</v>
      </c>
      <c r="E21" s="2" t="s">
        <v>77</v>
      </c>
      <c r="F21" s="2" t="s">
        <v>73</v>
      </c>
      <c r="G21" s="2" t="s">
        <v>60</v>
      </c>
      <c r="H21" s="2">
        <v>6</v>
      </c>
      <c r="I21" s="4">
        <v>1800</v>
      </c>
      <c r="J21" s="5">
        <v>0</v>
      </c>
      <c r="K21" s="4">
        <v>10800</v>
      </c>
      <c r="L21" s="4">
        <v>5700</v>
      </c>
      <c r="M21" s="4">
        <v>5100</v>
      </c>
      <c r="N21" s="2" t="s">
        <v>65</v>
      </c>
      <c r="O21" s="2" t="s">
        <v>29</v>
      </c>
    </row>
    <row r="22" spans="1:15">
      <c r="A22" s="2" t="s">
        <v>92</v>
      </c>
      <c r="B22" s="3">
        <v>45705</v>
      </c>
      <c r="C22" s="2" t="s">
        <v>71</v>
      </c>
      <c r="D22" s="2" t="s">
        <v>72</v>
      </c>
      <c r="E22" s="2" t="s">
        <v>18</v>
      </c>
      <c r="F22" s="2" t="s">
        <v>55</v>
      </c>
      <c r="G22" s="2" t="s">
        <v>56</v>
      </c>
      <c r="H22" s="2">
        <v>8</v>
      </c>
      <c r="I22" s="4">
        <v>120</v>
      </c>
      <c r="J22" s="5">
        <v>0</v>
      </c>
      <c r="K22" s="4">
        <v>960</v>
      </c>
      <c r="L22" s="4">
        <v>440</v>
      </c>
      <c r="M22" s="4">
        <v>520</v>
      </c>
      <c r="N22" s="2" t="s">
        <v>33</v>
      </c>
      <c r="O22" s="2" t="s">
        <v>43</v>
      </c>
    </row>
    <row r="23" spans="1:15">
      <c r="A23" s="2" t="s">
        <v>93</v>
      </c>
      <c r="B23" s="3">
        <v>45710</v>
      </c>
      <c r="C23" s="2" t="s">
        <v>67</v>
      </c>
      <c r="D23" s="2" t="s">
        <v>68</v>
      </c>
      <c r="E23" s="2" t="s">
        <v>26</v>
      </c>
      <c r="F23" s="2" t="s">
        <v>19</v>
      </c>
      <c r="G23" s="2" t="s">
        <v>20</v>
      </c>
      <c r="H23" s="2">
        <v>3</v>
      </c>
      <c r="I23" s="4">
        <v>5500</v>
      </c>
      <c r="J23" s="5">
        <v>0.15</v>
      </c>
      <c r="K23" s="4">
        <v>14025</v>
      </c>
      <c r="L23" s="4">
        <v>10800</v>
      </c>
      <c r="M23" s="4">
        <v>3225</v>
      </c>
      <c r="N23" s="2" t="s">
        <v>42</v>
      </c>
      <c r="O23" s="2" t="s">
        <v>29</v>
      </c>
    </row>
    <row r="24" spans="1:15">
      <c r="A24" s="2" t="s">
        <v>94</v>
      </c>
      <c r="B24" s="3">
        <v>45713</v>
      </c>
      <c r="C24" s="2" t="s">
        <v>87</v>
      </c>
      <c r="D24" s="6" t="s">
        <v>203</v>
      </c>
      <c r="E24" s="2" t="s">
        <v>62</v>
      </c>
      <c r="F24" s="2" t="s">
        <v>27</v>
      </c>
      <c r="G24" s="2" t="s">
        <v>28</v>
      </c>
      <c r="H24" s="2">
        <v>5</v>
      </c>
      <c r="I24" s="4">
        <v>350</v>
      </c>
      <c r="J24" s="5">
        <v>0</v>
      </c>
      <c r="K24" s="4">
        <v>1750</v>
      </c>
      <c r="L24" s="4">
        <v>700</v>
      </c>
      <c r="M24" s="4">
        <v>1050</v>
      </c>
      <c r="N24" s="2" t="s">
        <v>38</v>
      </c>
      <c r="O24" s="2" t="s">
        <v>29</v>
      </c>
    </row>
    <row r="25" spans="1:15">
      <c r="A25" s="2" t="s">
        <v>95</v>
      </c>
      <c r="B25" s="3">
        <v>45715</v>
      </c>
      <c r="C25" s="2" t="s">
        <v>24</v>
      </c>
      <c r="D25" s="2" t="s">
        <v>25</v>
      </c>
      <c r="E25" s="2" t="s">
        <v>18</v>
      </c>
      <c r="F25" s="2" t="s">
        <v>63</v>
      </c>
      <c r="G25" s="2" t="s">
        <v>60</v>
      </c>
      <c r="H25" s="2">
        <v>5</v>
      </c>
      <c r="I25" s="4">
        <v>650</v>
      </c>
      <c r="J25" s="5">
        <v>0.1</v>
      </c>
      <c r="K25" s="4">
        <v>2925</v>
      </c>
      <c r="L25" s="4">
        <v>1500</v>
      </c>
      <c r="M25" s="4">
        <v>1425</v>
      </c>
      <c r="N25" s="2" t="s">
        <v>38</v>
      </c>
      <c r="O25" s="2" t="s">
        <v>22</v>
      </c>
    </row>
    <row r="26" spans="1:15">
      <c r="A26" s="2" t="s">
        <v>96</v>
      </c>
      <c r="B26" s="3">
        <v>45716</v>
      </c>
      <c r="C26" s="2" t="s">
        <v>97</v>
      </c>
      <c r="D26" s="2" t="s">
        <v>98</v>
      </c>
      <c r="E26" s="2" t="s">
        <v>62</v>
      </c>
      <c r="F26" s="2" t="s">
        <v>27</v>
      </c>
      <c r="G26" s="2" t="s">
        <v>28</v>
      </c>
      <c r="H26" s="2">
        <v>4</v>
      </c>
      <c r="I26" s="4">
        <v>350</v>
      </c>
      <c r="J26" s="5">
        <v>0.15</v>
      </c>
      <c r="K26" s="4">
        <v>1190</v>
      </c>
      <c r="L26" s="4">
        <v>560</v>
      </c>
      <c r="M26" s="4">
        <v>630</v>
      </c>
      <c r="N26" s="2" t="s">
        <v>33</v>
      </c>
      <c r="O26" s="2" t="s">
        <v>22</v>
      </c>
    </row>
    <row r="27" spans="1:15">
      <c r="A27" s="2" t="s">
        <v>99</v>
      </c>
      <c r="B27" s="3">
        <v>45720</v>
      </c>
      <c r="C27" s="2" t="s">
        <v>90</v>
      </c>
      <c r="D27" s="2" t="s">
        <v>91</v>
      </c>
      <c r="E27" s="2" t="s">
        <v>26</v>
      </c>
      <c r="F27" s="2" t="s">
        <v>19</v>
      </c>
      <c r="G27" s="2" t="s">
        <v>20</v>
      </c>
      <c r="H27" s="2">
        <v>8</v>
      </c>
      <c r="I27" s="4">
        <v>5500</v>
      </c>
      <c r="J27" s="5">
        <v>0.15</v>
      </c>
      <c r="K27" s="4">
        <v>37400</v>
      </c>
      <c r="L27" s="4">
        <v>28800</v>
      </c>
      <c r="M27" s="4">
        <v>8600</v>
      </c>
      <c r="N27" s="2" t="s">
        <v>42</v>
      </c>
      <c r="O27" s="2" t="s">
        <v>22</v>
      </c>
    </row>
    <row r="28" spans="1:15">
      <c r="A28" s="2" t="s">
        <v>100</v>
      </c>
      <c r="B28" s="3">
        <v>45722</v>
      </c>
      <c r="C28" s="2" t="s">
        <v>87</v>
      </c>
      <c r="D28" s="2" t="s">
        <v>88</v>
      </c>
      <c r="E28" s="2" t="s">
        <v>18</v>
      </c>
      <c r="F28" s="2" t="s">
        <v>19</v>
      </c>
      <c r="G28" s="2" t="s">
        <v>20</v>
      </c>
      <c r="H28" s="2">
        <v>1</v>
      </c>
      <c r="I28" s="4">
        <v>5500</v>
      </c>
      <c r="J28" s="5">
        <v>0.2</v>
      </c>
      <c r="K28" s="4">
        <v>4400</v>
      </c>
      <c r="L28" s="4">
        <v>3600</v>
      </c>
      <c r="M28" s="4">
        <v>800</v>
      </c>
      <c r="N28" s="2" t="s">
        <v>65</v>
      </c>
      <c r="O28" s="2" t="s">
        <v>57</v>
      </c>
    </row>
    <row r="29" spans="1:15">
      <c r="A29" s="2" t="s">
        <v>101</v>
      </c>
      <c r="B29" s="3">
        <v>45723</v>
      </c>
      <c r="C29" s="2" t="s">
        <v>102</v>
      </c>
      <c r="D29" s="2" t="s">
        <v>103</v>
      </c>
      <c r="E29" s="2" t="s">
        <v>26</v>
      </c>
      <c r="F29" s="2" t="s">
        <v>27</v>
      </c>
      <c r="G29" s="2" t="s">
        <v>28</v>
      </c>
      <c r="H29" s="2">
        <v>3</v>
      </c>
      <c r="I29" s="4">
        <v>350</v>
      </c>
      <c r="J29" s="5">
        <v>0.15</v>
      </c>
      <c r="K29" s="4">
        <v>892.5</v>
      </c>
      <c r="L29" s="4">
        <v>420</v>
      </c>
      <c r="M29" s="4">
        <v>472.5</v>
      </c>
      <c r="N29" s="2" t="s">
        <v>21</v>
      </c>
      <c r="O29" s="2" t="s">
        <v>29</v>
      </c>
    </row>
    <row r="30" spans="1:15">
      <c r="A30" s="2" t="s">
        <v>104</v>
      </c>
      <c r="B30" s="3">
        <v>45733</v>
      </c>
      <c r="C30" s="2" t="s">
        <v>35</v>
      </c>
      <c r="D30" s="2" t="s">
        <v>36</v>
      </c>
      <c r="E30" s="2" t="s">
        <v>26</v>
      </c>
      <c r="F30" s="2" t="s">
        <v>19</v>
      </c>
      <c r="G30" s="2" t="s">
        <v>20</v>
      </c>
      <c r="H30" s="2">
        <v>4</v>
      </c>
      <c r="I30" s="4">
        <v>5500</v>
      </c>
      <c r="J30" s="5">
        <v>0.05</v>
      </c>
      <c r="K30" s="4">
        <v>20900</v>
      </c>
      <c r="L30" s="4">
        <v>14400</v>
      </c>
      <c r="M30" s="4">
        <v>6500</v>
      </c>
      <c r="N30" s="2" t="s">
        <v>65</v>
      </c>
      <c r="O30" s="2" t="s">
        <v>22</v>
      </c>
    </row>
    <row r="31" spans="1:15">
      <c r="A31" s="2" t="s">
        <v>105</v>
      </c>
      <c r="B31" s="3">
        <v>45735</v>
      </c>
      <c r="C31" s="2" t="s">
        <v>84</v>
      </c>
      <c r="D31" s="2" t="s">
        <v>85</v>
      </c>
      <c r="E31" s="2" t="s">
        <v>47</v>
      </c>
      <c r="F31" s="2" t="s">
        <v>37</v>
      </c>
      <c r="G31" s="2" t="s">
        <v>20</v>
      </c>
      <c r="H31" s="2">
        <v>2</v>
      </c>
      <c r="I31" s="4">
        <v>8500</v>
      </c>
      <c r="J31" s="5">
        <v>0.05</v>
      </c>
      <c r="K31" s="4">
        <v>16150</v>
      </c>
      <c r="L31" s="4">
        <v>12000</v>
      </c>
      <c r="M31" s="4">
        <v>4150</v>
      </c>
      <c r="N31" s="2" t="s">
        <v>38</v>
      </c>
      <c r="O31" s="2" t="s">
        <v>22</v>
      </c>
    </row>
    <row r="32" spans="1:15">
      <c r="A32" s="2" t="s">
        <v>106</v>
      </c>
      <c r="B32" s="3">
        <v>45736</v>
      </c>
      <c r="C32" s="2" t="s">
        <v>35</v>
      </c>
      <c r="D32" s="2" t="s">
        <v>36</v>
      </c>
      <c r="E32" s="2" t="s">
        <v>47</v>
      </c>
      <c r="F32" s="2" t="s">
        <v>73</v>
      </c>
      <c r="G32" s="2" t="s">
        <v>60</v>
      </c>
      <c r="H32" s="2">
        <v>1</v>
      </c>
      <c r="I32" s="4">
        <v>1800</v>
      </c>
      <c r="J32" s="5">
        <v>0.2</v>
      </c>
      <c r="K32" s="4">
        <v>1440</v>
      </c>
      <c r="L32" s="4">
        <v>950</v>
      </c>
      <c r="M32" s="4">
        <v>490</v>
      </c>
      <c r="N32" s="2" t="s">
        <v>33</v>
      </c>
      <c r="O32" s="2" t="s">
        <v>43</v>
      </c>
    </row>
    <row r="33" spans="1:15">
      <c r="A33" s="2" t="s">
        <v>107</v>
      </c>
      <c r="B33" s="3">
        <v>45738</v>
      </c>
      <c r="C33" s="2" t="s">
        <v>50</v>
      </c>
      <c r="D33" s="2" t="s">
        <v>51</v>
      </c>
      <c r="E33" s="2" t="s">
        <v>47</v>
      </c>
      <c r="F33" s="2" t="s">
        <v>73</v>
      </c>
      <c r="G33" s="2" t="s">
        <v>60</v>
      </c>
      <c r="H33" s="2">
        <v>5</v>
      </c>
      <c r="I33" s="4">
        <v>1800</v>
      </c>
      <c r="J33" s="5">
        <v>0</v>
      </c>
      <c r="K33" s="4">
        <v>9000</v>
      </c>
      <c r="L33" s="4">
        <v>4750</v>
      </c>
      <c r="M33" s="4">
        <v>4250</v>
      </c>
      <c r="N33" s="2" t="s">
        <v>33</v>
      </c>
      <c r="O33" s="2" t="s">
        <v>48</v>
      </c>
    </row>
    <row r="34" spans="1:15">
      <c r="A34" s="2" t="s">
        <v>108</v>
      </c>
      <c r="B34" s="3">
        <v>45739</v>
      </c>
      <c r="C34" s="2" t="s">
        <v>109</v>
      </c>
      <c r="D34" s="2" t="s">
        <v>110</v>
      </c>
      <c r="E34" s="2" t="s">
        <v>77</v>
      </c>
      <c r="F34" s="2" t="s">
        <v>27</v>
      </c>
      <c r="G34" s="2" t="s">
        <v>28</v>
      </c>
      <c r="H34" s="2">
        <v>5</v>
      </c>
      <c r="I34" s="4">
        <v>350</v>
      </c>
      <c r="J34" s="5">
        <v>0</v>
      </c>
      <c r="K34" s="4">
        <v>1750</v>
      </c>
      <c r="L34" s="4">
        <v>700</v>
      </c>
      <c r="M34" s="4">
        <v>1050</v>
      </c>
      <c r="N34" s="2" t="s">
        <v>21</v>
      </c>
      <c r="O34" s="2" t="s">
        <v>29</v>
      </c>
    </row>
    <row r="35" spans="1:15">
      <c r="A35" s="2" t="s">
        <v>111</v>
      </c>
      <c r="B35" s="3">
        <v>45741</v>
      </c>
      <c r="C35" s="2" t="s">
        <v>53</v>
      </c>
      <c r="D35" s="2" t="s">
        <v>54</v>
      </c>
      <c r="E35" s="2" t="s">
        <v>47</v>
      </c>
      <c r="F35" s="2" t="s">
        <v>27</v>
      </c>
      <c r="G35" s="2" t="s">
        <v>28</v>
      </c>
      <c r="H35" s="2">
        <v>3</v>
      </c>
      <c r="I35" s="4">
        <v>350</v>
      </c>
      <c r="J35" s="5">
        <v>0.05</v>
      </c>
      <c r="K35" s="4">
        <v>997.5</v>
      </c>
      <c r="L35" s="4">
        <v>420</v>
      </c>
      <c r="M35" s="4">
        <v>577.5</v>
      </c>
      <c r="N35" s="2" t="s">
        <v>38</v>
      </c>
      <c r="O35" s="2" t="s">
        <v>57</v>
      </c>
    </row>
    <row r="36" spans="1:15">
      <c r="A36" s="2" t="s">
        <v>112</v>
      </c>
      <c r="B36" s="3">
        <v>45742</v>
      </c>
      <c r="C36" s="2" t="s">
        <v>97</v>
      </c>
      <c r="D36" s="2" t="s">
        <v>98</v>
      </c>
      <c r="E36" s="2" t="s">
        <v>18</v>
      </c>
      <c r="F36" s="2" t="s">
        <v>59</v>
      </c>
      <c r="G36" s="2" t="s">
        <v>60</v>
      </c>
      <c r="H36" s="2">
        <v>2</v>
      </c>
      <c r="I36" s="4">
        <v>1200</v>
      </c>
      <c r="J36" s="5">
        <v>0</v>
      </c>
      <c r="K36" s="4">
        <v>2400</v>
      </c>
      <c r="L36" s="4">
        <v>1300</v>
      </c>
      <c r="M36" s="4">
        <v>1100</v>
      </c>
      <c r="N36" s="2" t="s">
        <v>42</v>
      </c>
      <c r="O36" s="2" t="s">
        <v>48</v>
      </c>
    </row>
    <row r="37" spans="1:15">
      <c r="A37" s="2" t="s">
        <v>113</v>
      </c>
      <c r="B37" s="3">
        <v>45743</v>
      </c>
      <c r="C37" s="2" t="s">
        <v>67</v>
      </c>
      <c r="D37" s="2" t="s">
        <v>68</v>
      </c>
      <c r="E37" s="2" t="s">
        <v>77</v>
      </c>
      <c r="F37" s="2" t="s">
        <v>75</v>
      </c>
      <c r="G37" s="2" t="s">
        <v>60</v>
      </c>
      <c r="H37" s="2">
        <v>2</v>
      </c>
      <c r="I37" s="4">
        <v>45000</v>
      </c>
      <c r="J37" s="5">
        <v>0.05</v>
      </c>
      <c r="K37" s="4">
        <v>85500</v>
      </c>
      <c r="L37" s="4">
        <v>66000</v>
      </c>
      <c r="M37" s="4">
        <v>19500</v>
      </c>
      <c r="N37" s="2" t="s">
        <v>38</v>
      </c>
      <c r="O37" s="2" t="s">
        <v>43</v>
      </c>
    </row>
    <row r="38" spans="1:15">
      <c r="A38" s="2" t="s">
        <v>114</v>
      </c>
      <c r="B38" s="3">
        <v>45748</v>
      </c>
      <c r="C38" s="2" t="s">
        <v>102</v>
      </c>
      <c r="D38" s="2" t="s">
        <v>103</v>
      </c>
      <c r="E38" s="2" t="s">
        <v>62</v>
      </c>
      <c r="F38" s="2" t="s">
        <v>55</v>
      </c>
      <c r="G38" s="2" t="s">
        <v>56</v>
      </c>
      <c r="H38" s="2">
        <v>3</v>
      </c>
      <c r="I38" s="4">
        <v>120</v>
      </c>
      <c r="J38" s="5">
        <v>0.15</v>
      </c>
      <c r="K38" s="4">
        <v>306</v>
      </c>
      <c r="L38" s="4">
        <v>165</v>
      </c>
      <c r="M38" s="4">
        <v>141</v>
      </c>
      <c r="N38" s="2" t="s">
        <v>21</v>
      </c>
      <c r="O38" s="2" t="s">
        <v>48</v>
      </c>
    </row>
    <row r="39" spans="1:15">
      <c r="A39" s="2" t="s">
        <v>115</v>
      </c>
      <c r="B39" s="3">
        <v>45749</v>
      </c>
      <c r="C39" s="2" t="s">
        <v>109</v>
      </c>
      <c r="D39" s="2" t="s">
        <v>110</v>
      </c>
      <c r="E39" s="2" t="s">
        <v>62</v>
      </c>
      <c r="F39" s="2" t="s">
        <v>75</v>
      </c>
      <c r="G39" s="2" t="s">
        <v>60</v>
      </c>
      <c r="H39" s="2">
        <v>5</v>
      </c>
      <c r="I39" s="4">
        <v>45000</v>
      </c>
      <c r="J39" s="5">
        <v>0.2</v>
      </c>
      <c r="K39" s="4">
        <v>180000</v>
      </c>
      <c r="L39" s="4">
        <v>165000</v>
      </c>
      <c r="M39" s="4">
        <v>15000</v>
      </c>
      <c r="N39" s="2" t="s">
        <v>65</v>
      </c>
      <c r="O39" s="2" t="s">
        <v>29</v>
      </c>
    </row>
    <row r="40" spans="1:15">
      <c r="A40" s="2" t="s">
        <v>116</v>
      </c>
      <c r="B40" s="3">
        <v>45751</v>
      </c>
      <c r="C40" s="2" t="s">
        <v>84</v>
      </c>
      <c r="D40" s="2" t="s">
        <v>85</v>
      </c>
      <c r="E40" s="2" t="s">
        <v>77</v>
      </c>
      <c r="F40" s="2" t="s">
        <v>75</v>
      </c>
      <c r="G40" s="2" t="s">
        <v>60</v>
      </c>
      <c r="H40" s="2">
        <v>8</v>
      </c>
      <c r="I40" s="4">
        <v>45000</v>
      </c>
      <c r="J40" s="5">
        <v>0.1</v>
      </c>
      <c r="K40" s="4">
        <v>324000</v>
      </c>
      <c r="L40" s="4">
        <v>264000</v>
      </c>
      <c r="M40" s="4">
        <v>60000</v>
      </c>
      <c r="N40" s="2" t="s">
        <v>33</v>
      </c>
      <c r="O40" s="2" t="s">
        <v>29</v>
      </c>
    </row>
    <row r="41" spans="1:15">
      <c r="A41" s="2" t="s">
        <v>117</v>
      </c>
      <c r="B41" s="3">
        <v>45752</v>
      </c>
      <c r="C41" s="2" t="s">
        <v>71</v>
      </c>
      <c r="D41" s="2" t="s">
        <v>72</v>
      </c>
      <c r="E41" s="2" t="s">
        <v>26</v>
      </c>
      <c r="F41" s="2" t="s">
        <v>55</v>
      </c>
      <c r="G41" s="2" t="s">
        <v>56</v>
      </c>
      <c r="H41" s="2">
        <v>8</v>
      </c>
      <c r="I41" s="4">
        <v>120</v>
      </c>
      <c r="J41" s="5">
        <v>0.1</v>
      </c>
      <c r="K41" s="4">
        <v>864</v>
      </c>
      <c r="L41" s="4">
        <v>440</v>
      </c>
      <c r="M41" s="4">
        <v>424</v>
      </c>
      <c r="N41" s="2" t="s">
        <v>21</v>
      </c>
      <c r="O41" s="2" t="s">
        <v>43</v>
      </c>
    </row>
    <row r="42" spans="1:15">
      <c r="A42" s="2" t="s">
        <v>118</v>
      </c>
      <c r="B42" s="3">
        <v>45757</v>
      </c>
      <c r="C42" s="2" t="s">
        <v>71</v>
      </c>
      <c r="D42" s="2" t="s">
        <v>72</v>
      </c>
      <c r="E42" s="2" t="s">
        <v>18</v>
      </c>
      <c r="F42" s="2" t="s">
        <v>19</v>
      </c>
      <c r="G42" s="2" t="s">
        <v>20</v>
      </c>
      <c r="H42" s="2">
        <v>5</v>
      </c>
      <c r="I42" s="4">
        <v>5500</v>
      </c>
      <c r="J42" s="5">
        <v>0</v>
      </c>
      <c r="K42" s="4">
        <v>27500</v>
      </c>
      <c r="L42" s="4">
        <v>18000</v>
      </c>
      <c r="M42" s="4">
        <v>9500</v>
      </c>
      <c r="N42" s="2" t="s">
        <v>33</v>
      </c>
      <c r="O42" s="2" t="s">
        <v>29</v>
      </c>
    </row>
    <row r="43" spans="1:15">
      <c r="A43" s="2" t="s">
        <v>119</v>
      </c>
      <c r="B43" s="3">
        <v>45759</v>
      </c>
      <c r="C43" s="2" t="s">
        <v>45</v>
      </c>
      <c r="D43" s="2" t="s">
        <v>46</v>
      </c>
      <c r="E43" s="2" t="s">
        <v>62</v>
      </c>
      <c r="F43" s="2" t="s">
        <v>27</v>
      </c>
      <c r="G43" s="2" t="s">
        <v>28</v>
      </c>
      <c r="H43" s="2">
        <v>1</v>
      </c>
      <c r="I43" s="4">
        <v>350</v>
      </c>
      <c r="J43" s="5">
        <v>0.2</v>
      </c>
      <c r="K43" s="4">
        <v>280</v>
      </c>
      <c r="L43" s="4">
        <v>140</v>
      </c>
      <c r="M43" s="4">
        <v>140</v>
      </c>
      <c r="N43" s="2" t="s">
        <v>38</v>
      </c>
      <c r="O43" s="2" t="s">
        <v>22</v>
      </c>
    </row>
    <row r="44" spans="1:15">
      <c r="A44" s="2" t="s">
        <v>120</v>
      </c>
      <c r="B44" s="3">
        <v>45759</v>
      </c>
      <c r="C44" s="2" t="s">
        <v>121</v>
      </c>
      <c r="D44" s="2" t="s">
        <v>122</v>
      </c>
      <c r="E44" s="2" t="s">
        <v>26</v>
      </c>
      <c r="F44" s="2" t="s">
        <v>27</v>
      </c>
      <c r="G44" s="2" t="s">
        <v>28</v>
      </c>
      <c r="H44" s="2">
        <v>7</v>
      </c>
      <c r="I44" s="4">
        <v>350</v>
      </c>
      <c r="J44" s="5">
        <v>0.15</v>
      </c>
      <c r="K44" s="4">
        <v>2082.5</v>
      </c>
      <c r="L44" s="4">
        <v>980</v>
      </c>
      <c r="M44" s="4">
        <v>1102.5</v>
      </c>
      <c r="N44" s="2" t="s">
        <v>42</v>
      </c>
      <c r="O44" s="2" t="s">
        <v>22</v>
      </c>
    </row>
    <row r="45" spans="1:15">
      <c r="A45" s="2" t="s">
        <v>123</v>
      </c>
      <c r="B45" s="3">
        <v>45770</v>
      </c>
      <c r="C45" s="2" t="s">
        <v>24</v>
      </c>
      <c r="D45" s="2" t="s">
        <v>25</v>
      </c>
      <c r="E45" s="2" t="s">
        <v>26</v>
      </c>
      <c r="F45" s="2" t="s">
        <v>27</v>
      </c>
      <c r="G45" s="2" t="s">
        <v>28</v>
      </c>
      <c r="H45" s="2">
        <v>4</v>
      </c>
      <c r="I45" s="4">
        <v>350</v>
      </c>
      <c r="J45" s="5">
        <v>0.2</v>
      </c>
      <c r="K45" s="4">
        <v>1120</v>
      </c>
      <c r="L45" s="4">
        <v>560</v>
      </c>
      <c r="M45" s="4">
        <v>560</v>
      </c>
      <c r="N45" s="2" t="s">
        <v>65</v>
      </c>
      <c r="O45" s="2" t="s">
        <v>57</v>
      </c>
    </row>
    <row r="46" spans="1:15">
      <c r="A46" s="2" t="s">
        <v>124</v>
      </c>
      <c r="B46" s="3">
        <v>45770</v>
      </c>
      <c r="C46" s="2" t="s">
        <v>53</v>
      </c>
      <c r="D46" s="2" t="s">
        <v>54</v>
      </c>
      <c r="E46" s="2" t="s">
        <v>47</v>
      </c>
      <c r="F46" s="2" t="s">
        <v>27</v>
      </c>
      <c r="G46" s="2" t="s">
        <v>28</v>
      </c>
      <c r="H46" s="2">
        <v>7</v>
      </c>
      <c r="I46" s="4">
        <v>350</v>
      </c>
      <c r="J46" s="5">
        <v>0.1</v>
      </c>
      <c r="K46" s="4">
        <v>2205</v>
      </c>
      <c r="L46" s="4">
        <v>980</v>
      </c>
      <c r="M46" s="4">
        <v>1225</v>
      </c>
      <c r="N46" s="2" t="s">
        <v>42</v>
      </c>
      <c r="O46" s="2" t="s">
        <v>43</v>
      </c>
    </row>
    <row r="47" spans="1:15">
      <c r="A47" s="2" t="s">
        <v>125</v>
      </c>
      <c r="B47" s="3">
        <v>45772</v>
      </c>
      <c r="C47" s="2" t="s">
        <v>40</v>
      </c>
      <c r="D47" s="2" t="s">
        <v>41</v>
      </c>
      <c r="E47" s="2" t="s">
        <v>47</v>
      </c>
      <c r="F47" s="2" t="s">
        <v>75</v>
      </c>
      <c r="G47" s="2" t="s">
        <v>60</v>
      </c>
      <c r="H47" s="2">
        <v>5</v>
      </c>
      <c r="I47" s="4">
        <v>45000</v>
      </c>
      <c r="J47" s="5">
        <v>0.05</v>
      </c>
      <c r="K47" s="4">
        <v>213750</v>
      </c>
      <c r="L47" s="4">
        <v>165000</v>
      </c>
      <c r="M47" s="4">
        <v>48750</v>
      </c>
      <c r="N47" s="2" t="s">
        <v>65</v>
      </c>
      <c r="O47" s="2" t="s">
        <v>48</v>
      </c>
    </row>
    <row r="48" spans="1:15">
      <c r="A48" s="2" t="s">
        <v>126</v>
      </c>
      <c r="B48" s="3">
        <v>45777</v>
      </c>
      <c r="C48" s="2" t="s">
        <v>127</v>
      </c>
      <c r="D48" s="2" t="s">
        <v>128</v>
      </c>
      <c r="E48" s="2" t="s">
        <v>26</v>
      </c>
      <c r="F48" s="2" t="s">
        <v>73</v>
      </c>
      <c r="G48" s="2" t="s">
        <v>60</v>
      </c>
      <c r="H48" s="2">
        <v>5</v>
      </c>
      <c r="I48" s="4">
        <v>1800</v>
      </c>
      <c r="J48" s="5">
        <v>0</v>
      </c>
      <c r="K48" s="4">
        <v>9000</v>
      </c>
      <c r="L48" s="4">
        <v>4750</v>
      </c>
      <c r="M48" s="4">
        <v>4250</v>
      </c>
      <c r="N48" s="2" t="s">
        <v>38</v>
      </c>
      <c r="O48" s="2" t="s">
        <v>29</v>
      </c>
    </row>
    <row r="49" spans="1:15">
      <c r="A49" s="2" t="s">
        <v>129</v>
      </c>
      <c r="B49" s="3">
        <v>45784</v>
      </c>
      <c r="C49" s="2" t="s">
        <v>102</v>
      </c>
      <c r="D49" s="2" t="s">
        <v>103</v>
      </c>
      <c r="E49" s="2" t="s">
        <v>47</v>
      </c>
      <c r="F49" s="2" t="s">
        <v>55</v>
      </c>
      <c r="G49" s="2" t="s">
        <v>56</v>
      </c>
      <c r="H49" s="2">
        <v>8</v>
      </c>
      <c r="I49" s="4">
        <v>120</v>
      </c>
      <c r="J49" s="5">
        <v>0</v>
      </c>
      <c r="K49" s="4">
        <v>960</v>
      </c>
      <c r="L49" s="4">
        <v>440</v>
      </c>
      <c r="M49" s="4">
        <v>520</v>
      </c>
      <c r="N49" s="2" t="s">
        <v>65</v>
      </c>
      <c r="O49" s="2" t="s">
        <v>29</v>
      </c>
    </row>
    <row r="50" spans="1:15">
      <c r="A50" s="2" t="s">
        <v>130</v>
      </c>
      <c r="B50" s="3">
        <v>45785</v>
      </c>
      <c r="C50" s="2" t="s">
        <v>90</v>
      </c>
      <c r="D50" s="2" t="s">
        <v>91</v>
      </c>
      <c r="E50" s="2" t="s">
        <v>26</v>
      </c>
      <c r="F50" s="2" t="s">
        <v>27</v>
      </c>
      <c r="G50" s="2" t="s">
        <v>28</v>
      </c>
      <c r="H50" s="2">
        <v>5</v>
      </c>
      <c r="I50" s="4">
        <v>350</v>
      </c>
      <c r="J50" s="5">
        <v>0</v>
      </c>
      <c r="K50" s="4">
        <v>1750</v>
      </c>
      <c r="L50" s="4">
        <v>700</v>
      </c>
      <c r="M50" s="4">
        <v>1050</v>
      </c>
      <c r="N50" s="2" t="s">
        <v>42</v>
      </c>
      <c r="O50" s="2" t="s">
        <v>43</v>
      </c>
    </row>
    <row r="51" spans="1:15">
      <c r="A51" s="2" t="s">
        <v>131</v>
      </c>
      <c r="B51" s="3">
        <v>45787</v>
      </c>
      <c r="C51" s="2" t="s">
        <v>84</v>
      </c>
      <c r="D51" s="2" t="s">
        <v>85</v>
      </c>
      <c r="E51" s="2" t="s">
        <v>26</v>
      </c>
      <c r="F51" s="2" t="s">
        <v>69</v>
      </c>
      <c r="G51" s="2" t="s">
        <v>56</v>
      </c>
      <c r="H51" s="2">
        <v>5</v>
      </c>
      <c r="I51" s="4">
        <v>80</v>
      </c>
      <c r="J51" s="5">
        <v>0.15</v>
      </c>
      <c r="K51" s="4">
        <v>340</v>
      </c>
      <c r="L51" s="4">
        <v>175</v>
      </c>
      <c r="M51" s="4">
        <v>165</v>
      </c>
      <c r="N51" s="2" t="s">
        <v>38</v>
      </c>
      <c r="O51" s="2" t="s">
        <v>57</v>
      </c>
    </row>
    <row r="52" spans="1:15">
      <c r="A52" s="2" t="s">
        <v>132</v>
      </c>
      <c r="B52" s="3">
        <v>45790</v>
      </c>
      <c r="C52" s="2" t="s">
        <v>109</v>
      </c>
      <c r="D52" s="2" t="s">
        <v>110</v>
      </c>
      <c r="E52" s="2" t="s">
        <v>47</v>
      </c>
      <c r="F52" s="2" t="s">
        <v>59</v>
      </c>
      <c r="G52" s="2" t="s">
        <v>60</v>
      </c>
      <c r="H52" s="2">
        <v>8</v>
      </c>
      <c r="I52" s="4">
        <v>1200</v>
      </c>
      <c r="J52" s="5">
        <v>0.15</v>
      </c>
      <c r="K52" s="4">
        <v>8160</v>
      </c>
      <c r="L52" s="4">
        <v>5200</v>
      </c>
      <c r="M52" s="4">
        <v>2960</v>
      </c>
      <c r="N52" s="2" t="s">
        <v>21</v>
      </c>
      <c r="O52" s="2" t="s">
        <v>48</v>
      </c>
    </row>
    <row r="53" spans="1:15">
      <c r="A53" s="2" t="s">
        <v>133</v>
      </c>
      <c r="B53" s="3">
        <v>45794</v>
      </c>
      <c r="C53" s="2" t="s">
        <v>87</v>
      </c>
      <c r="D53" s="2" t="s">
        <v>88</v>
      </c>
      <c r="E53" s="2" t="s">
        <v>47</v>
      </c>
      <c r="F53" s="2" t="s">
        <v>37</v>
      </c>
      <c r="G53" s="2" t="s">
        <v>20</v>
      </c>
      <c r="H53" s="2">
        <v>7</v>
      </c>
      <c r="I53" s="4">
        <v>8500</v>
      </c>
      <c r="J53" s="5">
        <v>0.05</v>
      </c>
      <c r="K53" s="4">
        <v>56525</v>
      </c>
      <c r="L53" s="4">
        <v>42000</v>
      </c>
      <c r="M53" s="4">
        <v>14525</v>
      </c>
      <c r="N53" t="s">
        <v>203</v>
      </c>
      <c r="O53" s="2" t="s">
        <v>43</v>
      </c>
    </row>
    <row r="54" spans="1:15">
      <c r="A54" s="2" t="s">
        <v>134</v>
      </c>
      <c r="B54" s="3">
        <v>45796</v>
      </c>
      <c r="C54" s="2" t="s">
        <v>67</v>
      </c>
      <c r="D54" s="2" t="s">
        <v>68</v>
      </c>
      <c r="E54" s="2" t="s">
        <v>18</v>
      </c>
      <c r="F54" s="2" t="s">
        <v>37</v>
      </c>
      <c r="G54" s="2" t="s">
        <v>20</v>
      </c>
      <c r="H54" s="2">
        <v>6</v>
      </c>
      <c r="I54" s="4">
        <v>8500</v>
      </c>
      <c r="J54" s="5">
        <v>0.15</v>
      </c>
      <c r="K54" s="4">
        <v>43350</v>
      </c>
      <c r="L54" s="4">
        <v>36000</v>
      </c>
      <c r="M54" s="4">
        <v>7350</v>
      </c>
      <c r="N54" s="2" t="s">
        <v>21</v>
      </c>
      <c r="O54" s="2" t="s">
        <v>22</v>
      </c>
    </row>
    <row r="55" spans="1:15">
      <c r="A55" s="2" t="s">
        <v>135</v>
      </c>
      <c r="B55" s="3">
        <v>45797</v>
      </c>
      <c r="C55" s="2" t="s">
        <v>136</v>
      </c>
      <c r="D55" s="2" t="s">
        <v>137</v>
      </c>
      <c r="E55" s="2" t="s">
        <v>77</v>
      </c>
      <c r="F55" s="2" t="s">
        <v>73</v>
      </c>
      <c r="G55" s="2" t="s">
        <v>60</v>
      </c>
      <c r="H55" s="2">
        <v>8</v>
      </c>
      <c r="I55" s="4">
        <v>1800</v>
      </c>
      <c r="J55" s="5">
        <v>0.05</v>
      </c>
      <c r="K55" s="4">
        <v>13680</v>
      </c>
      <c r="L55" s="4">
        <v>7600</v>
      </c>
      <c r="M55" s="4">
        <v>6080</v>
      </c>
      <c r="N55" s="2" t="s">
        <v>38</v>
      </c>
      <c r="O55" s="2" t="s">
        <v>57</v>
      </c>
    </row>
    <row r="56" spans="1:15">
      <c r="A56" s="2" t="s">
        <v>138</v>
      </c>
      <c r="B56" s="3">
        <v>45802</v>
      </c>
      <c r="C56" s="2" t="s">
        <v>40</v>
      </c>
      <c r="D56" s="2" t="s">
        <v>41</v>
      </c>
      <c r="E56" s="2" t="s">
        <v>62</v>
      </c>
      <c r="F56" s="2" t="s">
        <v>63</v>
      </c>
      <c r="G56" s="2" t="s">
        <v>60</v>
      </c>
      <c r="H56" s="2">
        <v>3</v>
      </c>
      <c r="I56" s="4">
        <v>650</v>
      </c>
      <c r="J56" s="5">
        <v>0.1</v>
      </c>
      <c r="K56" s="4">
        <v>1755</v>
      </c>
      <c r="L56" s="4">
        <v>900</v>
      </c>
      <c r="M56" s="4">
        <v>855</v>
      </c>
      <c r="N56" s="2" t="s">
        <v>33</v>
      </c>
      <c r="O56" s="2" t="s">
        <v>29</v>
      </c>
    </row>
    <row r="57" spans="1:15">
      <c r="A57" s="2" t="s">
        <v>139</v>
      </c>
      <c r="B57" s="3">
        <v>45807</v>
      </c>
      <c r="C57" s="2" t="s">
        <v>109</v>
      </c>
      <c r="D57" s="2" t="s">
        <v>110</v>
      </c>
      <c r="E57" s="2" t="s">
        <v>62</v>
      </c>
      <c r="F57" s="2" t="s">
        <v>63</v>
      </c>
      <c r="G57" s="2" t="s">
        <v>60</v>
      </c>
      <c r="H57" s="2">
        <v>3</v>
      </c>
      <c r="I57" s="4">
        <v>650</v>
      </c>
      <c r="J57" s="5">
        <v>0.15</v>
      </c>
      <c r="K57" s="4">
        <v>1657.5</v>
      </c>
      <c r="L57" s="4">
        <v>900</v>
      </c>
      <c r="M57" s="4">
        <v>757.5</v>
      </c>
      <c r="N57" s="2" t="s">
        <v>21</v>
      </c>
      <c r="O57" s="2" t="s">
        <v>43</v>
      </c>
    </row>
    <row r="58" spans="1:15">
      <c r="A58" s="2" t="s">
        <v>140</v>
      </c>
      <c r="B58" s="3">
        <v>45811</v>
      </c>
      <c r="C58" s="2" t="s">
        <v>67</v>
      </c>
      <c r="D58" s="2" t="s">
        <v>68</v>
      </c>
      <c r="E58" s="2" t="s">
        <v>26</v>
      </c>
      <c r="F58" s="2" t="s">
        <v>19</v>
      </c>
      <c r="G58" s="2" t="s">
        <v>20</v>
      </c>
      <c r="H58" s="2">
        <v>1</v>
      </c>
      <c r="I58" s="4">
        <v>5500</v>
      </c>
      <c r="J58" s="5">
        <v>0.2</v>
      </c>
      <c r="K58" s="4">
        <v>4400</v>
      </c>
      <c r="L58" s="4">
        <v>3600</v>
      </c>
      <c r="M58" s="4">
        <v>800</v>
      </c>
      <c r="N58" s="2" t="s">
        <v>33</v>
      </c>
      <c r="O58" s="2" t="s">
        <v>29</v>
      </c>
    </row>
    <row r="59" spans="1:15">
      <c r="A59" s="2" t="s">
        <v>141</v>
      </c>
      <c r="B59" s="3">
        <v>45816</v>
      </c>
      <c r="C59" s="2" t="s">
        <v>84</v>
      </c>
      <c r="D59" s="2" t="s">
        <v>85</v>
      </c>
      <c r="E59" s="2" t="s">
        <v>77</v>
      </c>
      <c r="F59" s="2" t="s">
        <v>63</v>
      </c>
      <c r="G59" s="2" t="s">
        <v>60</v>
      </c>
      <c r="H59" s="2">
        <v>5</v>
      </c>
      <c r="I59" s="4">
        <v>650</v>
      </c>
      <c r="J59" s="5">
        <v>0.2</v>
      </c>
      <c r="K59" s="4">
        <v>2600</v>
      </c>
      <c r="L59" s="4">
        <v>1500</v>
      </c>
      <c r="M59" s="4">
        <v>1100</v>
      </c>
      <c r="N59" s="2" t="s">
        <v>21</v>
      </c>
      <c r="O59" s="2" t="s">
        <v>43</v>
      </c>
    </row>
    <row r="60" spans="1:15">
      <c r="A60" s="2" t="s">
        <v>142</v>
      </c>
      <c r="B60" s="3">
        <v>45817</v>
      </c>
      <c r="C60" s="2" t="s">
        <v>136</v>
      </c>
      <c r="D60" s="2" t="s">
        <v>137</v>
      </c>
      <c r="E60" s="2" t="s">
        <v>26</v>
      </c>
      <c r="F60" s="2" t="s">
        <v>27</v>
      </c>
      <c r="G60" s="2" t="s">
        <v>28</v>
      </c>
      <c r="H60" s="2">
        <v>2</v>
      </c>
      <c r="I60" s="4">
        <v>350</v>
      </c>
      <c r="J60" s="5">
        <v>0.05</v>
      </c>
      <c r="K60" s="4">
        <v>665</v>
      </c>
      <c r="L60" s="4">
        <v>280</v>
      </c>
      <c r="M60" s="4">
        <v>385</v>
      </c>
      <c r="N60" s="2" t="s">
        <v>42</v>
      </c>
      <c r="O60" s="2" t="s">
        <v>57</v>
      </c>
    </row>
    <row r="61" spans="1:15">
      <c r="A61" s="2" t="s">
        <v>143</v>
      </c>
      <c r="B61" s="3">
        <v>45819</v>
      </c>
      <c r="C61" s="2" t="s">
        <v>81</v>
      </c>
      <c r="D61" s="2" t="s">
        <v>82</v>
      </c>
      <c r="E61" s="2" t="s">
        <v>26</v>
      </c>
      <c r="F61" s="2" t="s">
        <v>59</v>
      </c>
      <c r="G61" s="2" t="s">
        <v>60</v>
      </c>
      <c r="H61" s="2">
        <v>5</v>
      </c>
      <c r="I61" s="4">
        <v>1200</v>
      </c>
      <c r="J61" s="5">
        <v>0.15</v>
      </c>
      <c r="K61" s="4">
        <v>5100</v>
      </c>
      <c r="L61" s="4">
        <v>3250</v>
      </c>
      <c r="M61" s="4">
        <v>1850</v>
      </c>
      <c r="N61" s="2" t="s">
        <v>65</v>
      </c>
      <c r="O61" s="2" t="s">
        <v>43</v>
      </c>
    </row>
    <row r="62" spans="1:15">
      <c r="A62" s="2" t="s">
        <v>144</v>
      </c>
      <c r="B62" s="3">
        <v>45825</v>
      </c>
      <c r="C62" s="2" t="s">
        <v>87</v>
      </c>
      <c r="D62" s="2" t="s">
        <v>88</v>
      </c>
      <c r="E62" s="2" t="s">
        <v>47</v>
      </c>
      <c r="F62" s="2" t="s">
        <v>75</v>
      </c>
      <c r="G62" s="2" t="s">
        <v>60</v>
      </c>
      <c r="H62" s="2">
        <v>5</v>
      </c>
      <c r="I62" s="4">
        <v>45000</v>
      </c>
      <c r="J62" s="5">
        <v>0.15</v>
      </c>
      <c r="K62" s="4">
        <v>191250</v>
      </c>
      <c r="L62" s="4">
        <v>165000</v>
      </c>
      <c r="M62" s="4">
        <v>26250</v>
      </c>
      <c r="N62" s="2" t="s">
        <v>38</v>
      </c>
      <c r="O62" s="2" t="s">
        <v>29</v>
      </c>
    </row>
    <row r="63" spans="1:15">
      <c r="A63" s="2" t="s">
        <v>145</v>
      </c>
      <c r="B63" s="3">
        <v>45826</v>
      </c>
      <c r="C63" s="2" t="s">
        <v>84</v>
      </c>
      <c r="D63" s="2" t="s">
        <v>85</v>
      </c>
      <c r="E63" s="2" t="s">
        <v>77</v>
      </c>
      <c r="F63" s="2" t="s">
        <v>37</v>
      </c>
      <c r="G63" s="2" t="s">
        <v>20</v>
      </c>
      <c r="H63" s="2">
        <v>2</v>
      </c>
      <c r="I63" s="4">
        <v>8500</v>
      </c>
      <c r="J63" s="5">
        <v>0.05</v>
      </c>
      <c r="K63" s="4">
        <v>16150</v>
      </c>
      <c r="L63" s="4">
        <v>12000</v>
      </c>
      <c r="M63" s="4">
        <v>4150</v>
      </c>
      <c r="N63" s="2" t="s">
        <v>38</v>
      </c>
      <c r="O63" s="2" t="s">
        <v>29</v>
      </c>
    </row>
    <row r="64" spans="1:15">
      <c r="A64" s="2" t="s">
        <v>146</v>
      </c>
      <c r="B64" s="3">
        <v>45826</v>
      </c>
      <c r="C64" s="2" t="s">
        <v>35</v>
      </c>
      <c r="D64" s="2" t="s">
        <v>36</v>
      </c>
      <c r="E64" s="2" t="s">
        <v>18</v>
      </c>
      <c r="F64" s="2" t="s">
        <v>75</v>
      </c>
      <c r="G64" s="2" t="s">
        <v>60</v>
      </c>
      <c r="H64" s="2">
        <v>4</v>
      </c>
      <c r="I64" s="4">
        <v>45000</v>
      </c>
      <c r="J64" s="5">
        <v>0.15</v>
      </c>
      <c r="K64" s="4">
        <v>153000</v>
      </c>
      <c r="L64" s="4">
        <v>132000</v>
      </c>
      <c r="M64" s="4">
        <v>21000</v>
      </c>
      <c r="N64" s="2" t="s">
        <v>65</v>
      </c>
      <c r="O64" s="2" t="s">
        <v>29</v>
      </c>
    </row>
    <row r="65" spans="1:15">
      <c r="A65" s="2" t="s">
        <v>147</v>
      </c>
      <c r="B65" s="3">
        <v>45827</v>
      </c>
      <c r="C65" s="2" t="s">
        <v>102</v>
      </c>
      <c r="D65" s="2" t="s">
        <v>103</v>
      </c>
      <c r="E65" s="2" t="s">
        <v>26</v>
      </c>
      <c r="F65" s="2" t="s">
        <v>79</v>
      </c>
      <c r="G65" s="2" t="s">
        <v>60</v>
      </c>
      <c r="H65" s="2">
        <v>7</v>
      </c>
      <c r="I65" s="4">
        <v>12500</v>
      </c>
      <c r="J65" s="5">
        <v>0.2</v>
      </c>
      <c r="K65" s="4">
        <v>70000</v>
      </c>
      <c r="L65" s="4">
        <v>64400</v>
      </c>
      <c r="M65" s="4">
        <v>5600</v>
      </c>
      <c r="N65" s="2" t="s">
        <v>65</v>
      </c>
      <c r="O65" s="2" t="s">
        <v>29</v>
      </c>
    </row>
    <row r="66" spans="1:15">
      <c r="A66" s="2" t="s">
        <v>148</v>
      </c>
      <c r="B66" s="3">
        <v>45827</v>
      </c>
      <c r="C66" s="2" t="s">
        <v>50</v>
      </c>
      <c r="D66" s="2" t="s">
        <v>51</v>
      </c>
      <c r="E66" s="2" t="s">
        <v>62</v>
      </c>
      <c r="F66" s="2" t="s">
        <v>63</v>
      </c>
      <c r="G66" s="2" t="s">
        <v>60</v>
      </c>
      <c r="H66" s="2">
        <v>7</v>
      </c>
      <c r="I66" s="4">
        <v>650</v>
      </c>
      <c r="J66" s="5">
        <v>0.15</v>
      </c>
      <c r="K66" s="4">
        <v>3867.5</v>
      </c>
      <c r="L66" s="4">
        <v>2100</v>
      </c>
      <c r="M66" s="4">
        <v>1767.5</v>
      </c>
      <c r="N66" s="2" t="s">
        <v>38</v>
      </c>
      <c r="O66" s="2" t="s">
        <v>43</v>
      </c>
    </row>
    <row r="67" spans="1:15">
      <c r="A67" s="2" t="s">
        <v>149</v>
      </c>
      <c r="B67" s="3">
        <v>45839</v>
      </c>
      <c r="C67" s="2" t="s">
        <v>109</v>
      </c>
      <c r="D67" s="2" t="s">
        <v>110</v>
      </c>
      <c r="E67" s="2" t="s">
        <v>47</v>
      </c>
      <c r="F67" s="2" t="s">
        <v>37</v>
      </c>
      <c r="G67" s="2" t="s">
        <v>20</v>
      </c>
      <c r="H67" s="2">
        <v>3</v>
      </c>
      <c r="I67" s="4">
        <v>8500</v>
      </c>
      <c r="J67" s="5">
        <v>0.1</v>
      </c>
      <c r="K67" s="4">
        <v>22950</v>
      </c>
      <c r="L67" s="4">
        <v>18000</v>
      </c>
      <c r="M67" s="4">
        <v>4950</v>
      </c>
      <c r="N67" s="2" t="s">
        <v>21</v>
      </c>
      <c r="O67" s="2" t="s">
        <v>57</v>
      </c>
    </row>
    <row r="68" spans="1:15">
      <c r="A68" s="2" t="s">
        <v>150</v>
      </c>
      <c r="B68" s="3">
        <v>45843</v>
      </c>
      <c r="C68" s="2" t="s">
        <v>31</v>
      </c>
      <c r="D68" s="2" t="s">
        <v>32</v>
      </c>
      <c r="E68" s="2" t="s">
        <v>62</v>
      </c>
      <c r="F68" s="2" t="s">
        <v>79</v>
      </c>
      <c r="G68" s="2" t="s">
        <v>60</v>
      </c>
      <c r="H68" s="2">
        <v>5</v>
      </c>
      <c r="I68" s="4">
        <v>12500</v>
      </c>
      <c r="J68" s="5">
        <v>0.2</v>
      </c>
      <c r="K68" s="4">
        <v>50000</v>
      </c>
      <c r="L68" s="4">
        <v>46000</v>
      </c>
      <c r="M68" s="4">
        <v>4000</v>
      </c>
      <c r="N68" s="2" t="s">
        <v>33</v>
      </c>
      <c r="O68" s="2" t="s">
        <v>57</v>
      </c>
    </row>
    <row r="69" spans="1:15">
      <c r="A69" s="2" t="s">
        <v>151</v>
      </c>
      <c r="B69" s="3">
        <v>45847</v>
      </c>
      <c r="C69" s="2" t="s">
        <v>90</v>
      </c>
      <c r="D69" s="2" t="s">
        <v>91</v>
      </c>
      <c r="E69" s="2" t="s">
        <v>18</v>
      </c>
      <c r="F69" s="2" t="s">
        <v>37</v>
      </c>
      <c r="G69" s="2" t="s">
        <v>20</v>
      </c>
      <c r="H69" s="2">
        <v>2</v>
      </c>
      <c r="I69" s="4">
        <v>8500</v>
      </c>
      <c r="J69" s="5">
        <v>0.05</v>
      </c>
      <c r="K69" s="4">
        <v>16150</v>
      </c>
      <c r="L69" s="4">
        <v>12000</v>
      </c>
      <c r="M69" s="4">
        <v>4150</v>
      </c>
      <c r="N69" s="2" t="s">
        <v>33</v>
      </c>
      <c r="O69" s="2" t="s">
        <v>43</v>
      </c>
    </row>
    <row r="70" spans="1:15">
      <c r="A70" s="2" t="s">
        <v>152</v>
      </c>
      <c r="B70" s="3">
        <v>45849</v>
      </c>
      <c r="C70" s="2" t="s">
        <v>45</v>
      </c>
      <c r="D70" s="2" t="s">
        <v>46</v>
      </c>
      <c r="E70" s="2" t="s">
        <v>47</v>
      </c>
      <c r="F70" s="2" t="s">
        <v>27</v>
      </c>
      <c r="G70" s="2" t="s">
        <v>28</v>
      </c>
      <c r="H70" s="2">
        <v>4</v>
      </c>
      <c r="I70" s="4">
        <v>350</v>
      </c>
      <c r="J70" s="5">
        <v>0.05</v>
      </c>
      <c r="K70" s="4">
        <v>1330</v>
      </c>
      <c r="L70" s="4">
        <v>560</v>
      </c>
      <c r="M70" s="4">
        <v>770</v>
      </c>
      <c r="N70" s="2" t="s">
        <v>42</v>
      </c>
      <c r="O70" s="2" t="s">
        <v>48</v>
      </c>
    </row>
    <row r="71" spans="1:15">
      <c r="A71" s="2" t="s">
        <v>153</v>
      </c>
      <c r="B71" s="3">
        <v>45852</v>
      </c>
      <c r="C71" s="2" t="s">
        <v>136</v>
      </c>
      <c r="D71" s="2" t="s">
        <v>137</v>
      </c>
      <c r="E71" s="2" t="s">
        <v>77</v>
      </c>
      <c r="F71" s="2" t="s">
        <v>27</v>
      </c>
      <c r="G71" s="2" t="s">
        <v>28</v>
      </c>
      <c r="H71" s="2">
        <v>4</v>
      </c>
      <c r="I71" s="4">
        <v>350</v>
      </c>
      <c r="J71" s="5">
        <v>0.2</v>
      </c>
      <c r="K71" s="4">
        <v>1120</v>
      </c>
      <c r="L71" s="4">
        <v>560</v>
      </c>
      <c r="M71" s="4">
        <v>560</v>
      </c>
      <c r="N71" s="2" t="s">
        <v>38</v>
      </c>
      <c r="O71" s="2" t="s">
        <v>29</v>
      </c>
    </row>
    <row r="72" spans="1:15">
      <c r="A72" s="2" t="s">
        <v>154</v>
      </c>
      <c r="B72" s="3">
        <v>45852</v>
      </c>
      <c r="C72" s="2" t="s">
        <v>50</v>
      </c>
      <c r="D72" s="2" t="s">
        <v>51</v>
      </c>
      <c r="E72" s="2" t="s">
        <v>26</v>
      </c>
      <c r="F72" s="2" t="s">
        <v>69</v>
      </c>
      <c r="G72" s="2" t="s">
        <v>56</v>
      </c>
      <c r="H72" s="2">
        <v>1</v>
      </c>
      <c r="I72" s="4">
        <v>80</v>
      </c>
      <c r="J72" s="5">
        <v>0.05</v>
      </c>
      <c r="K72" s="4">
        <v>76</v>
      </c>
      <c r="L72" s="4">
        <v>35</v>
      </c>
      <c r="M72" s="4">
        <v>41</v>
      </c>
      <c r="N72" s="2" t="s">
        <v>38</v>
      </c>
      <c r="O72" s="2" t="s">
        <v>29</v>
      </c>
    </row>
    <row r="73" spans="1:15">
      <c r="A73" s="2" t="s">
        <v>155</v>
      </c>
      <c r="B73" s="3">
        <v>45857</v>
      </c>
      <c r="C73" s="2" t="s">
        <v>71</v>
      </c>
      <c r="D73" s="2" t="s">
        <v>72</v>
      </c>
      <c r="E73" s="2" t="s">
        <v>77</v>
      </c>
      <c r="F73" s="2" t="s">
        <v>75</v>
      </c>
      <c r="G73" s="2" t="s">
        <v>60</v>
      </c>
      <c r="H73" s="2">
        <v>6</v>
      </c>
      <c r="I73" s="4">
        <v>45000</v>
      </c>
      <c r="J73" s="5">
        <v>0.1</v>
      </c>
      <c r="K73" s="4">
        <v>243000</v>
      </c>
      <c r="L73" s="4">
        <v>198000</v>
      </c>
      <c r="M73" s="4">
        <v>45000</v>
      </c>
      <c r="N73" s="2" t="s">
        <v>42</v>
      </c>
      <c r="O73" s="2" t="s">
        <v>48</v>
      </c>
    </row>
    <row r="74" spans="1:15">
      <c r="A74" s="2" t="s">
        <v>156</v>
      </c>
      <c r="B74" s="3">
        <v>45866</v>
      </c>
      <c r="C74" s="2" t="s">
        <v>87</v>
      </c>
      <c r="D74" s="2" t="s">
        <v>88</v>
      </c>
      <c r="E74" s="2" t="s">
        <v>26</v>
      </c>
      <c r="F74" s="2" t="s">
        <v>19</v>
      </c>
      <c r="G74" s="2" t="s">
        <v>20</v>
      </c>
      <c r="H74" s="2">
        <v>1</v>
      </c>
      <c r="I74" s="4">
        <v>5500</v>
      </c>
      <c r="J74" s="5">
        <v>0.2</v>
      </c>
      <c r="K74" s="4">
        <v>4400</v>
      </c>
      <c r="L74" s="4">
        <v>3600</v>
      </c>
      <c r="M74" s="4">
        <v>800</v>
      </c>
      <c r="N74" s="2" t="s">
        <v>33</v>
      </c>
      <c r="O74" s="2" t="s">
        <v>57</v>
      </c>
    </row>
    <row r="75" spans="1:15">
      <c r="A75" s="2" t="s">
        <v>157</v>
      </c>
      <c r="B75" s="3">
        <v>45866</v>
      </c>
      <c r="C75" s="2" t="s">
        <v>45</v>
      </c>
      <c r="D75" s="2" t="s">
        <v>46</v>
      </c>
      <c r="E75" s="2" t="s">
        <v>77</v>
      </c>
      <c r="F75" s="2" t="s">
        <v>73</v>
      </c>
      <c r="G75" s="2" t="s">
        <v>60</v>
      </c>
      <c r="H75" s="2">
        <v>2</v>
      </c>
      <c r="I75" s="4">
        <v>1800</v>
      </c>
      <c r="J75" s="5">
        <v>0.05</v>
      </c>
      <c r="K75" s="4">
        <v>3420</v>
      </c>
      <c r="L75" s="4">
        <v>1900</v>
      </c>
      <c r="M75" s="4">
        <v>1520</v>
      </c>
      <c r="N75" s="2" t="s">
        <v>42</v>
      </c>
      <c r="O75" s="2" t="s">
        <v>22</v>
      </c>
    </row>
    <row r="76" spans="1:15">
      <c r="A76" s="2" t="s">
        <v>158</v>
      </c>
      <c r="B76" s="3">
        <v>45870</v>
      </c>
      <c r="C76" s="2" t="s">
        <v>71</v>
      </c>
      <c r="D76" s="2" t="s">
        <v>72</v>
      </c>
      <c r="E76" s="2" t="s">
        <v>62</v>
      </c>
      <c r="F76" s="2" t="s">
        <v>27</v>
      </c>
      <c r="G76" s="2" t="s">
        <v>28</v>
      </c>
      <c r="H76" s="2">
        <v>2</v>
      </c>
      <c r="I76" s="4">
        <v>350</v>
      </c>
      <c r="J76" s="5">
        <v>0.15</v>
      </c>
      <c r="K76" s="4">
        <v>595</v>
      </c>
      <c r="L76" s="4">
        <v>280</v>
      </c>
      <c r="M76" s="4">
        <v>315</v>
      </c>
      <c r="N76" s="2" t="s">
        <v>33</v>
      </c>
      <c r="O76" s="2" t="s">
        <v>43</v>
      </c>
    </row>
    <row r="77" spans="1:15">
      <c r="A77" s="2" t="s">
        <v>159</v>
      </c>
      <c r="B77" s="3">
        <v>45873</v>
      </c>
      <c r="C77" s="2" t="s">
        <v>121</v>
      </c>
      <c r="D77" s="2" t="s">
        <v>122</v>
      </c>
      <c r="E77" s="2" t="s">
        <v>77</v>
      </c>
      <c r="F77" s="2" t="s">
        <v>79</v>
      </c>
      <c r="G77" s="2" t="s">
        <v>60</v>
      </c>
      <c r="H77" s="2">
        <v>3</v>
      </c>
      <c r="I77" s="4">
        <v>12500</v>
      </c>
      <c r="J77" s="5">
        <v>0.05</v>
      </c>
      <c r="K77" s="4">
        <v>35625</v>
      </c>
      <c r="L77" s="4">
        <v>27600</v>
      </c>
      <c r="M77" s="4">
        <v>8025</v>
      </c>
      <c r="N77" s="2" t="s">
        <v>33</v>
      </c>
      <c r="O77" s="2" t="s">
        <v>48</v>
      </c>
    </row>
    <row r="78" spans="1:15">
      <c r="A78" s="2" t="s">
        <v>160</v>
      </c>
      <c r="B78" s="3">
        <v>45873</v>
      </c>
      <c r="C78" s="2" t="s">
        <v>102</v>
      </c>
      <c r="D78" s="2" t="s">
        <v>103</v>
      </c>
      <c r="E78" s="2" t="s">
        <v>77</v>
      </c>
      <c r="F78" s="2" t="s">
        <v>63</v>
      </c>
      <c r="G78" s="2" t="s">
        <v>60</v>
      </c>
      <c r="H78" s="2">
        <v>6</v>
      </c>
      <c r="I78" s="4">
        <v>650</v>
      </c>
      <c r="J78" s="5">
        <v>0</v>
      </c>
      <c r="K78" s="4">
        <v>3900</v>
      </c>
      <c r="L78" s="4">
        <v>1800</v>
      </c>
      <c r="M78" s="4">
        <v>2100</v>
      </c>
      <c r="N78" s="2" t="s">
        <v>65</v>
      </c>
      <c r="O78" s="2" t="s">
        <v>43</v>
      </c>
    </row>
    <row r="79" spans="1:15">
      <c r="A79" s="2" t="s">
        <v>161</v>
      </c>
      <c r="B79" s="3">
        <v>45878</v>
      </c>
      <c r="C79" s="2" t="s">
        <v>53</v>
      </c>
      <c r="D79" s="2" t="s">
        <v>54</v>
      </c>
      <c r="E79" s="2" t="s">
        <v>26</v>
      </c>
      <c r="F79" s="2" t="s">
        <v>75</v>
      </c>
      <c r="G79" s="2" t="s">
        <v>60</v>
      </c>
      <c r="H79" s="2">
        <v>4</v>
      </c>
      <c r="I79" s="4">
        <v>45000</v>
      </c>
      <c r="J79" s="5">
        <v>0.1</v>
      </c>
      <c r="K79" s="4">
        <v>162000</v>
      </c>
      <c r="L79" s="4">
        <v>132000</v>
      </c>
      <c r="M79" s="4">
        <v>30000</v>
      </c>
      <c r="N79" s="2" t="s">
        <v>21</v>
      </c>
      <c r="O79" s="2" t="s">
        <v>48</v>
      </c>
    </row>
    <row r="80" spans="1:15">
      <c r="A80" s="2" t="s">
        <v>162</v>
      </c>
      <c r="B80" s="3">
        <v>45884</v>
      </c>
      <c r="C80" s="2" t="s">
        <v>53</v>
      </c>
      <c r="D80" s="2" t="s">
        <v>54</v>
      </c>
      <c r="E80" s="2" t="s">
        <v>77</v>
      </c>
      <c r="F80" s="2" t="s">
        <v>27</v>
      </c>
      <c r="G80" s="2" t="s">
        <v>28</v>
      </c>
      <c r="H80" s="2">
        <v>6</v>
      </c>
      <c r="I80" s="4">
        <v>350</v>
      </c>
      <c r="J80" s="5">
        <v>0.15</v>
      </c>
      <c r="K80" s="4">
        <v>1785</v>
      </c>
      <c r="L80" s="4">
        <v>840</v>
      </c>
      <c r="M80" s="4">
        <v>945</v>
      </c>
      <c r="N80" s="2" t="s">
        <v>33</v>
      </c>
      <c r="O80" s="2" t="s">
        <v>48</v>
      </c>
    </row>
    <row r="81" spans="1:15">
      <c r="A81" s="2" t="s">
        <v>163</v>
      </c>
      <c r="B81" s="3">
        <v>45884</v>
      </c>
      <c r="C81" s="2" t="s">
        <v>97</v>
      </c>
      <c r="D81" s="2" t="s">
        <v>98</v>
      </c>
      <c r="E81" s="2" t="s">
        <v>62</v>
      </c>
      <c r="F81" s="2" t="s">
        <v>55</v>
      </c>
      <c r="G81" s="2" t="s">
        <v>56</v>
      </c>
      <c r="H81" s="2">
        <v>4</v>
      </c>
      <c r="I81" s="4">
        <v>120</v>
      </c>
      <c r="J81" s="5">
        <v>0</v>
      </c>
      <c r="K81" s="4">
        <v>480</v>
      </c>
      <c r="L81" s="4">
        <v>220</v>
      </c>
      <c r="M81" s="4">
        <v>260</v>
      </c>
      <c r="N81" s="2" t="s">
        <v>65</v>
      </c>
      <c r="O81" s="2" t="s">
        <v>57</v>
      </c>
    </row>
    <row r="82" spans="1:15">
      <c r="A82" s="2" t="s">
        <v>164</v>
      </c>
      <c r="B82" s="3">
        <v>45887</v>
      </c>
      <c r="C82" s="2" t="s">
        <v>35</v>
      </c>
      <c r="D82" s="2" t="s">
        <v>36</v>
      </c>
      <c r="E82" s="2" t="s">
        <v>47</v>
      </c>
      <c r="F82" s="2" t="s">
        <v>73</v>
      </c>
      <c r="G82" s="2" t="s">
        <v>60</v>
      </c>
      <c r="H82" s="2">
        <v>4</v>
      </c>
      <c r="I82" s="4">
        <v>1800</v>
      </c>
      <c r="J82" s="5">
        <v>0.2</v>
      </c>
      <c r="K82" s="4">
        <v>5760</v>
      </c>
      <c r="L82" s="4">
        <v>3800</v>
      </c>
      <c r="M82" s="4">
        <v>1960</v>
      </c>
      <c r="N82" s="2" t="s">
        <v>38</v>
      </c>
      <c r="O82" s="2" t="s">
        <v>22</v>
      </c>
    </row>
    <row r="83" spans="1:15">
      <c r="A83" s="2" t="s">
        <v>165</v>
      </c>
      <c r="B83" s="3">
        <v>45888</v>
      </c>
      <c r="C83" s="2" t="s">
        <v>31</v>
      </c>
      <c r="D83" s="2" t="s">
        <v>32</v>
      </c>
      <c r="E83" s="2" t="s">
        <v>62</v>
      </c>
      <c r="F83" s="2" t="s">
        <v>59</v>
      </c>
      <c r="G83" s="2" t="s">
        <v>60</v>
      </c>
      <c r="H83" s="2">
        <v>1</v>
      </c>
      <c r="I83" s="4">
        <v>1200</v>
      </c>
      <c r="J83" s="5">
        <v>0.15</v>
      </c>
      <c r="K83" s="4">
        <v>1020</v>
      </c>
      <c r="L83" s="4">
        <v>650</v>
      </c>
      <c r="M83" s="4">
        <v>370</v>
      </c>
      <c r="N83" s="2" t="s">
        <v>38</v>
      </c>
      <c r="O83" s="2" t="s">
        <v>29</v>
      </c>
    </row>
    <row r="84" spans="1:15">
      <c r="A84" s="2" t="s">
        <v>166</v>
      </c>
      <c r="B84" s="3">
        <v>45893</v>
      </c>
      <c r="C84" s="2" t="s">
        <v>127</v>
      </c>
      <c r="D84" s="2" t="s">
        <v>128</v>
      </c>
      <c r="E84" s="2" t="s">
        <v>18</v>
      </c>
      <c r="F84" s="2" t="s">
        <v>55</v>
      </c>
      <c r="G84" s="2" t="s">
        <v>56</v>
      </c>
      <c r="H84" s="2">
        <v>4</v>
      </c>
      <c r="I84" s="4">
        <v>120</v>
      </c>
      <c r="J84" s="5">
        <v>0.05</v>
      </c>
      <c r="K84" s="4">
        <v>456</v>
      </c>
      <c r="L84" s="4">
        <v>220</v>
      </c>
      <c r="M84" s="4">
        <v>236</v>
      </c>
      <c r="N84" s="2" t="s">
        <v>21</v>
      </c>
      <c r="O84" s="2" t="s">
        <v>22</v>
      </c>
    </row>
    <row r="85" spans="1:15">
      <c r="A85" s="2" t="s">
        <v>167</v>
      </c>
      <c r="B85" s="3">
        <v>45893</v>
      </c>
      <c r="C85" s="2" t="s">
        <v>102</v>
      </c>
      <c r="D85" s="2" t="s">
        <v>103</v>
      </c>
      <c r="E85" s="2" t="s">
        <v>62</v>
      </c>
      <c r="F85" s="2" t="s">
        <v>27</v>
      </c>
      <c r="G85" s="2" t="s">
        <v>28</v>
      </c>
      <c r="H85" s="2">
        <v>5</v>
      </c>
      <c r="I85" s="4">
        <v>350</v>
      </c>
      <c r="J85" s="5">
        <v>0</v>
      </c>
      <c r="K85" s="4">
        <v>1750</v>
      </c>
      <c r="L85" s="4">
        <v>700</v>
      </c>
      <c r="M85" s="4">
        <v>1050</v>
      </c>
      <c r="N85" s="2" t="s">
        <v>65</v>
      </c>
      <c r="O85" s="2" t="s">
        <v>43</v>
      </c>
    </row>
    <row r="86" spans="1:15">
      <c r="A86" s="2" t="s">
        <v>168</v>
      </c>
      <c r="B86" s="3">
        <v>45894</v>
      </c>
      <c r="C86" s="2" t="s">
        <v>136</v>
      </c>
      <c r="D86" s="2" t="s">
        <v>137</v>
      </c>
      <c r="E86" s="2" t="s">
        <v>77</v>
      </c>
      <c r="F86" s="2" t="s">
        <v>59</v>
      </c>
      <c r="G86" s="2" t="s">
        <v>60</v>
      </c>
      <c r="H86" s="2">
        <v>4</v>
      </c>
      <c r="I86" s="4">
        <v>1200</v>
      </c>
      <c r="J86" s="5">
        <v>0.05</v>
      </c>
      <c r="K86" s="4">
        <v>4560</v>
      </c>
      <c r="L86" s="4">
        <v>2600</v>
      </c>
      <c r="M86" s="4">
        <v>1960</v>
      </c>
      <c r="N86" s="2" t="s">
        <v>21</v>
      </c>
      <c r="O86" s="2" t="s">
        <v>48</v>
      </c>
    </row>
    <row r="87" spans="1:15">
      <c r="A87" s="2" t="s">
        <v>169</v>
      </c>
      <c r="B87" s="3">
        <v>45894</v>
      </c>
      <c r="C87" s="2" t="s">
        <v>40</v>
      </c>
      <c r="D87" s="2" t="s">
        <v>41</v>
      </c>
      <c r="E87" s="2" t="s">
        <v>77</v>
      </c>
      <c r="F87" s="2" t="s">
        <v>69</v>
      </c>
      <c r="G87" s="2" t="s">
        <v>56</v>
      </c>
      <c r="H87" s="2">
        <v>1</v>
      </c>
      <c r="I87" s="4">
        <v>80</v>
      </c>
      <c r="J87" s="5">
        <v>0.2</v>
      </c>
      <c r="K87" s="4">
        <v>64</v>
      </c>
      <c r="L87" s="4">
        <v>35</v>
      </c>
      <c r="M87" s="4">
        <v>29</v>
      </c>
      <c r="N87" s="2" t="s">
        <v>65</v>
      </c>
      <c r="O87" s="2" t="s">
        <v>22</v>
      </c>
    </row>
    <row r="88" spans="1:15">
      <c r="A88" s="2" t="s">
        <v>170</v>
      </c>
      <c r="B88" s="3">
        <v>45895</v>
      </c>
      <c r="C88" s="2" t="s">
        <v>31</v>
      </c>
      <c r="D88" s="2" t="s">
        <v>32</v>
      </c>
      <c r="E88" s="2" t="s">
        <v>62</v>
      </c>
      <c r="F88" s="2" t="s">
        <v>19</v>
      </c>
      <c r="G88" s="2" t="s">
        <v>20</v>
      </c>
      <c r="H88" s="2">
        <v>8</v>
      </c>
      <c r="I88" s="4">
        <v>5500</v>
      </c>
      <c r="J88" s="5">
        <v>0.05</v>
      </c>
      <c r="K88" s="4">
        <v>41800</v>
      </c>
      <c r="L88" s="4">
        <v>28800</v>
      </c>
      <c r="M88" s="4">
        <v>13000</v>
      </c>
      <c r="N88" s="2" t="s">
        <v>42</v>
      </c>
      <c r="O88" s="2" t="s">
        <v>43</v>
      </c>
    </row>
    <row r="89" spans="1:15">
      <c r="A89" s="2" t="s">
        <v>171</v>
      </c>
      <c r="B89" s="3">
        <v>45897</v>
      </c>
      <c r="C89" s="2" t="s">
        <v>31</v>
      </c>
      <c r="D89" s="2" t="s">
        <v>32</v>
      </c>
      <c r="E89" s="2" t="s">
        <v>62</v>
      </c>
      <c r="F89" s="2" t="s">
        <v>69</v>
      </c>
      <c r="G89" s="2" t="s">
        <v>56</v>
      </c>
      <c r="H89" s="2">
        <v>7</v>
      </c>
      <c r="I89" s="4">
        <v>80</v>
      </c>
      <c r="J89" s="5">
        <v>0.2</v>
      </c>
      <c r="K89" s="4">
        <v>448</v>
      </c>
      <c r="L89" s="4">
        <v>245</v>
      </c>
      <c r="M89" s="4">
        <v>203</v>
      </c>
      <c r="N89" s="2" t="s">
        <v>21</v>
      </c>
      <c r="O89" s="2" t="s">
        <v>48</v>
      </c>
    </row>
    <row r="90" spans="1:15">
      <c r="A90" s="2" t="s">
        <v>172</v>
      </c>
      <c r="B90" s="3">
        <v>45897</v>
      </c>
      <c r="C90" s="2" t="s">
        <v>81</v>
      </c>
      <c r="D90" s="2" t="s">
        <v>82</v>
      </c>
      <c r="E90" s="2" t="s">
        <v>47</v>
      </c>
      <c r="F90" s="2" t="s">
        <v>37</v>
      </c>
      <c r="G90" s="2" t="s">
        <v>20</v>
      </c>
      <c r="H90" s="2">
        <v>7</v>
      </c>
      <c r="I90" s="4">
        <v>8500</v>
      </c>
      <c r="J90" s="5">
        <v>0.05</v>
      </c>
      <c r="K90" s="4">
        <v>56525</v>
      </c>
      <c r="L90" s="4">
        <v>42000</v>
      </c>
      <c r="M90" s="4">
        <v>14525</v>
      </c>
      <c r="N90" s="2" t="s">
        <v>42</v>
      </c>
      <c r="O90" s="2" t="s">
        <v>48</v>
      </c>
    </row>
    <row r="91" spans="1:15">
      <c r="A91" s="2" t="s">
        <v>173</v>
      </c>
      <c r="B91" s="3">
        <v>45898</v>
      </c>
      <c r="C91" s="2" t="s">
        <v>24</v>
      </c>
      <c r="D91" s="2" t="s">
        <v>25</v>
      </c>
      <c r="E91" s="2" t="s">
        <v>62</v>
      </c>
      <c r="F91" s="2" t="s">
        <v>19</v>
      </c>
      <c r="G91" s="2" t="s">
        <v>20</v>
      </c>
      <c r="H91" s="2">
        <v>1</v>
      </c>
      <c r="I91" s="4">
        <v>5500</v>
      </c>
      <c r="J91" s="5">
        <v>0.05</v>
      </c>
      <c r="K91" s="4">
        <v>5225</v>
      </c>
      <c r="L91" s="4">
        <v>3600</v>
      </c>
      <c r="M91" s="4">
        <v>1625</v>
      </c>
      <c r="N91" s="2" t="s">
        <v>38</v>
      </c>
      <c r="O91" s="2" t="s">
        <v>29</v>
      </c>
    </row>
    <row r="92" spans="1:15">
      <c r="A92" s="2" t="s">
        <v>174</v>
      </c>
      <c r="B92" s="3">
        <v>45921</v>
      </c>
      <c r="C92" s="2" t="s">
        <v>71</v>
      </c>
      <c r="D92" s="2" t="s">
        <v>72</v>
      </c>
      <c r="E92" s="2" t="s">
        <v>62</v>
      </c>
      <c r="F92" s="2" t="s">
        <v>59</v>
      </c>
      <c r="G92" s="2" t="s">
        <v>60</v>
      </c>
      <c r="H92" s="2">
        <v>2</v>
      </c>
      <c r="I92" s="4">
        <v>1200</v>
      </c>
      <c r="J92" s="5">
        <v>0.1</v>
      </c>
      <c r="K92" s="4">
        <v>2160</v>
      </c>
      <c r="L92" s="4">
        <v>1300</v>
      </c>
      <c r="M92" s="4">
        <v>860</v>
      </c>
      <c r="N92" s="2" t="s">
        <v>21</v>
      </c>
      <c r="O92" s="2" t="s">
        <v>57</v>
      </c>
    </row>
    <row r="93" spans="1:15">
      <c r="A93" s="2" t="s">
        <v>175</v>
      </c>
      <c r="B93" s="3">
        <v>45929</v>
      </c>
      <c r="C93" s="2" t="s">
        <v>127</v>
      </c>
      <c r="D93" s="2" t="s">
        <v>128</v>
      </c>
      <c r="E93" s="2" t="s">
        <v>47</v>
      </c>
      <c r="F93" s="2" t="s">
        <v>27</v>
      </c>
      <c r="G93" s="2" t="s">
        <v>28</v>
      </c>
      <c r="H93" s="2">
        <v>8</v>
      </c>
      <c r="I93" s="4">
        <v>350</v>
      </c>
      <c r="J93" s="5">
        <v>0.2</v>
      </c>
      <c r="K93" s="4">
        <v>2240</v>
      </c>
      <c r="L93" s="4">
        <v>1120</v>
      </c>
      <c r="M93" s="4">
        <v>1120</v>
      </c>
      <c r="N93" s="2" t="s">
        <v>65</v>
      </c>
      <c r="O93" s="2" t="s">
        <v>48</v>
      </c>
    </row>
    <row r="94" spans="1:15">
      <c r="A94" s="2" t="s">
        <v>176</v>
      </c>
      <c r="B94" s="3">
        <v>45932</v>
      </c>
      <c r="C94" s="2" t="s">
        <v>40</v>
      </c>
      <c r="D94" s="2" t="s">
        <v>41</v>
      </c>
      <c r="E94" s="2" t="s">
        <v>47</v>
      </c>
      <c r="F94" s="2" t="s">
        <v>73</v>
      </c>
      <c r="G94" s="2" t="s">
        <v>60</v>
      </c>
      <c r="H94" s="2">
        <v>6</v>
      </c>
      <c r="I94" s="4">
        <v>1800</v>
      </c>
      <c r="J94" s="5">
        <v>0</v>
      </c>
      <c r="K94" s="4">
        <v>10800</v>
      </c>
      <c r="L94" s="4">
        <v>5700</v>
      </c>
      <c r="M94" s="4">
        <v>5100</v>
      </c>
      <c r="N94" s="2" t="s">
        <v>33</v>
      </c>
      <c r="O94" s="2" t="s">
        <v>22</v>
      </c>
    </row>
    <row r="95" spans="1:15">
      <c r="A95" s="2" t="s">
        <v>177</v>
      </c>
      <c r="B95" s="3">
        <v>45933</v>
      </c>
      <c r="C95" s="2" t="s">
        <v>136</v>
      </c>
      <c r="D95" s="2" t="s">
        <v>137</v>
      </c>
      <c r="E95" s="2" t="s">
        <v>47</v>
      </c>
      <c r="F95" s="2" t="s">
        <v>27</v>
      </c>
      <c r="G95" s="2" t="s">
        <v>28</v>
      </c>
      <c r="H95" s="2">
        <v>2</v>
      </c>
      <c r="I95" s="4">
        <v>350</v>
      </c>
      <c r="J95" s="5">
        <v>0</v>
      </c>
      <c r="K95" s="4">
        <v>700</v>
      </c>
      <c r="L95" s="4">
        <v>280</v>
      </c>
      <c r="M95" s="4">
        <v>420</v>
      </c>
      <c r="N95" s="2" t="s">
        <v>42</v>
      </c>
      <c r="O95" s="2" t="s">
        <v>29</v>
      </c>
    </row>
    <row r="96" spans="1:15">
      <c r="A96" s="2" t="s">
        <v>178</v>
      </c>
      <c r="B96" s="3">
        <v>45935</v>
      </c>
      <c r="C96" s="2" t="s">
        <v>121</v>
      </c>
      <c r="D96" s="2" t="s">
        <v>122</v>
      </c>
      <c r="E96" s="2" t="s">
        <v>26</v>
      </c>
      <c r="F96" s="2" t="s">
        <v>73</v>
      </c>
      <c r="G96" s="2" t="s">
        <v>60</v>
      </c>
      <c r="H96" s="2">
        <v>1</v>
      </c>
      <c r="I96" s="4">
        <v>1800</v>
      </c>
      <c r="J96" s="5">
        <v>0.2</v>
      </c>
      <c r="K96" s="4">
        <v>1440</v>
      </c>
      <c r="L96" s="4">
        <v>950</v>
      </c>
      <c r="M96" s="4">
        <v>490</v>
      </c>
      <c r="N96" s="2" t="s">
        <v>21</v>
      </c>
      <c r="O96" s="2" t="s">
        <v>57</v>
      </c>
    </row>
    <row r="97" spans="1:15">
      <c r="A97" s="2" t="s">
        <v>179</v>
      </c>
      <c r="B97" s="3">
        <v>45939</v>
      </c>
      <c r="C97" s="2" t="s">
        <v>67</v>
      </c>
      <c r="D97" s="2" t="s">
        <v>68</v>
      </c>
      <c r="E97" s="2" t="s">
        <v>47</v>
      </c>
      <c r="F97" s="2" t="s">
        <v>59</v>
      </c>
      <c r="G97" s="2" t="s">
        <v>60</v>
      </c>
      <c r="H97" s="2">
        <v>3</v>
      </c>
      <c r="I97" s="4">
        <v>1200</v>
      </c>
      <c r="J97" s="5">
        <v>0.15</v>
      </c>
      <c r="K97" s="4">
        <v>3060</v>
      </c>
      <c r="L97" s="4">
        <v>1950</v>
      </c>
      <c r="M97" s="4">
        <v>1110</v>
      </c>
      <c r="N97" s="2" t="s">
        <v>21</v>
      </c>
      <c r="O97" s="2" t="s">
        <v>48</v>
      </c>
    </row>
    <row r="98" spans="1:15">
      <c r="A98" s="2" t="s">
        <v>180</v>
      </c>
      <c r="B98" s="3">
        <v>45941</v>
      </c>
      <c r="C98" s="2" t="s">
        <v>35</v>
      </c>
      <c r="D98" s="2" t="s">
        <v>36</v>
      </c>
      <c r="E98" s="2" t="s">
        <v>62</v>
      </c>
      <c r="F98" s="2" t="s">
        <v>19</v>
      </c>
      <c r="G98" s="2" t="s">
        <v>20</v>
      </c>
      <c r="H98" s="2">
        <v>6</v>
      </c>
      <c r="I98" s="4">
        <v>5500</v>
      </c>
      <c r="J98" s="5">
        <v>0.15</v>
      </c>
      <c r="K98" s="4">
        <v>28050</v>
      </c>
      <c r="L98" s="4">
        <v>21600</v>
      </c>
      <c r="M98" s="4">
        <v>6450</v>
      </c>
      <c r="N98" s="2" t="s">
        <v>21</v>
      </c>
      <c r="O98" s="2" t="s">
        <v>43</v>
      </c>
    </row>
    <row r="99" spans="1:15">
      <c r="A99" s="2" t="s">
        <v>181</v>
      </c>
      <c r="B99" s="3">
        <v>45943</v>
      </c>
      <c r="C99" s="2" t="s">
        <v>35</v>
      </c>
      <c r="D99" s="2" t="s">
        <v>36</v>
      </c>
      <c r="E99" s="2" t="s">
        <v>47</v>
      </c>
      <c r="F99" s="2" t="s">
        <v>59</v>
      </c>
      <c r="G99" s="2" t="s">
        <v>60</v>
      </c>
      <c r="H99" s="2">
        <v>8</v>
      </c>
      <c r="I99" s="4">
        <v>1200</v>
      </c>
      <c r="J99" s="5">
        <v>0</v>
      </c>
      <c r="K99" s="4">
        <v>9600</v>
      </c>
      <c r="L99" s="4">
        <v>5200</v>
      </c>
      <c r="M99" s="4">
        <v>4400</v>
      </c>
      <c r="N99" s="2" t="s">
        <v>65</v>
      </c>
      <c r="O99" s="2" t="s">
        <v>43</v>
      </c>
    </row>
    <row r="100" spans="1:15">
      <c r="A100" s="2" t="s">
        <v>182</v>
      </c>
      <c r="B100" s="3">
        <v>45945</v>
      </c>
      <c r="C100" s="2" t="s">
        <v>90</v>
      </c>
      <c r="D100" s="2" t="s">
        <v>91</v>
      </c>
      <c r="E100" s="2" t="s">
        <v>62</v>
      </c>
      <c r="F100" s="2" t="s">
        <v>19</v>
      </c>
      <c r="G100" s="2" t="s">
        <v>20</v>
      </c>
      <c r="H100" s="2">
        <v>3</v>
      </c>
      <c r="I100" s="4">
        <v>5500</v>
      </c>
      <c r="J100" s="5">
        <v>0.05</v>
      </c>
      <c r="K100" s="4">
        <v>15675</v>
      </c>
      <c r="L100" s="4">
        <v>10800</v>
      </c>
      <c r="M100" s="4">
        <v>4875</v>
      </c>
      <c r="N100" s="2" t="s">
        <v>21</v>
      </c>
      <c r="O100" s="2" t="s">
        <v>48</v>
      </c>
    </row>
    <row r="101" spans="1:15">
      <c r="A101" s="2" t="s">
        <v>183</v>
      </c>
      <c r="B101" s="3">
        <v>45953</v>
      </c>
      <c r="C101" s="2" t="s">
        <v>84</v>
      </c>
      <c r="D101" s="2" t="s">
        <v>85</v>
      </c>
      <c r="E101" s="2" t="s">
        <v>47</v>
      </c>
      <c r="F101" s="2" t="s">
        <v>69</v>
      </c>
      <c r="G101" s="2" t="s">
        <v>56</v>
      </c>
      <c r="H101" s="2">
        <v>2</v>
      </c>
      <c r="I101" s="4">
        <v>80</v>
      </c>
      <c r="J101" s="5">
        <v>0.15</v>
      </c>
      <c r="K101" s="4">
        <v>136</v>
      </c>
      <c r="L101" s="4">
        <v>70</v>
      </c>
      <c r="M101" s="4">
        <v>66</v>
      </c>
      <c r="N101" s="2" t="s">
        <v>21</v>
      </c>
      <c r="O101" s="2" t="s">
        <v>57</v>
      </c>
    </row>
    <row r="102" spans="1:15">
      <c r="A102" s="2" t="s">
        <v>184</v>
      </c>
      <c r="B102" s="3">
        <v>45957</v>
      </c>
      <c r="C102" s="2" t="s">
        <v>127</v>
      </c>
      <c r="D102" s="2" t="s">
        <v>128</v>
      </c>
      <c r="E102" s="2" t="s">
        <v>26</v>
      </c>
      <c r="F102" s="2" t="s">
        <v>73</v>
      </c>
      <c r="G102" s="2" t="s">
        <v>60</v>
      </c>
      <c r="H102" s="2">
        <v>7</v>
      </c>
      <c r="I102" s="4">
        <v>1800</v>
      </c>
      <c r="J102" s="5">
        <v>0.15</v>
      </c>
      <c r="K102" s="4">
        <v>10710</v>
      </c>
      <c r="L102" s="4">
        <v>6650</v>
      </c>
      <c r="M102" s="4">
        <v>4060</v>
      </c>
      <c r="N102" s="2" t="s">
        <v>42</v>
      </c>
      <c r="O102" s="2" t="s">
        <v>43</v>
      </c>
    </row>
    <row r="103" spans="1:15">
      <c r="A103" s="2" t="s">
        <v>185</v>
      </c>
      <c r="B103" s="3">
        <v>45961</v>
      </c>
      <c r="C103" s="2" t="s">
        <v>67</v>
      </c>
      <c r="D103" s="2" t="s">
        <v>68</v>
      </c>
      <c r="E103" s="2" t="s">
        <v>18</v>
      </c>
      <c r="F103" s="2" t="s">
        <v>55</v>
      </c>
      <c r="G103" s="2" t="s">
        <v>56</v>
      </c>
      <c r="H103" s="2">
        <v>8</v>
      </c>
      <c r="I103" s="4">
        <v>120</v>
      </c>
      <c r="J103" s="5">
        <v>0.15</v>
      </c>
      <c r="K103" s="4">
        <v>816</v>
      </c>
      <c r="L103" s="4">
        <v>440</v>
      </c>
      <c r="M103" s="4">
        <v>376</v>
      </c>
      <c r="N103" s="2" t="s">
        <v>21</v>
      </c>
      <c r="O103" s="2" t="s">
        <v>22</v>
      </c>
    </row>
    <row r="104" spans="1:15">
      <c r="A104" s="2" t="s">
        <v>186</v>
      </c>
      <c r="B104" s="3">
        <v>45971</v>
      </c>
      <c r="C104" s="2" t="s">
        <v>90</v>
      </c>
      <c r="D104" s="2" t="s">
        <v>91</v>
      </c>
      <c r="E104" s="2" t="s">
        <v>62</v>
      </c>
      <c r="F104" s="2" t="s">
        <v>55</v>
      </c>
      <c r="G104" s="2" t="s">
        <v>56</v>
      </c>
      <c r="H104" s="2">
        <v>6</v>
      </c>
      <c r="I104" s="4">
        <v>120</v>
      </c>
      <c r="J104" s="5">
        <v>0.15</v>
      </c>
      <c r="K104" s="4">
        <v>612</v>
      </c>
      <c r="L104" s="4">
        <v>330</v>
      </c>
      <c r="M104" s="4">
        <v>282</v>
      </c>
      <c r="N104" s="2" t="s">
        <v>38</v>
      </c>
      <c r="O104" s="2" t="s">
        <v>48</v>
      </c>
    </row>
    <row r="105" spans="1:15">
      <c r="A105" s="2" t="s">
        <v>187</v>
      </c>
      <c r="B105" s="3">
        <v>45975</v>
      </c>
      <c r="C105" s="2" t="s">
        <v>16</v>
      </c>
      <c r="D105" s="2" t="s">
        <v>17</v>
      </c>
      <c r="E105" s="2" t="s">
        <v>26</v>
      </c>
      <c r="F105" s="2" t="s">
        <v>69</v>
      </c>
      <c r="G105" s="2" t="s">
        <v>56</v>
      </c>
      <c r="H105" s="2">
        <v>5</v>
      </c>
      <c r="I105" s="4">
        <v>80</v>
      </c>
      <c r="J105" s="5">
        <v>0.2</v>
      </c>
      <c r="K105" s="4">
        <v>320</v>
      </c>
      <c r="L105" s="4">
        <v>175</v>
      </c>
      <c r="M105" s="4">
        <v>145</v>
      </c>
      <c r="N105" s="2" t="s">
        <v>42</v>
      </c>
      <c r="O105" s="2" t="s">
        <v>57</v>
      </c>
    </row>
    <row r="106" spans="1:15">
      <c r="A106" s="2" t="s">
        <v>188</v>
      </c>
      <c r="B106" s="3">
        <v>45979</v>
      </c>
      <c r="C106" s="2" t="s">
        <v>31</v>
      </c>
      <c r="D106" s="2" t="s">
        <v>32</v>
      </c>
      <c r="E106" s="2" t="s">
        <v>47</v>
      </c>
      <c r="F106" s="2" t="s">
        <v>75</v>
      </c>
      <c r="G106" s="2" t="s">
        <v>60</v>
      </c>
      <c r="H106" s="2">
        <v>2</v>
      </c>
      <c r="I106" s="4">
        <v>45000</v>
      </c>
      <c r="J106" s="5">
        <v>0.05</v>
      </c>
      <c r="K106" s="4">
        <v>85500</v>
      </c>
      <c r="L106" s="4">
        <v>66000</v>
      </c>
      <c r="M106" s="4">
        <v>19500</v>
      </c>
      <c r="N106" s="2" t="s">
        <v>38</v>
      </c>
      <c r="O106" s="2" t="s">
        <v>48</v>
      </c>
    </row>
    <row r="107" spans="1:15">
      <c r="A107" s="2" t="s">
        <v>189</v>
      </c>
      <c r="B107" s="3">
        <v>45984</v>
      </c>
      <c r="C107" s="2" t="s">
        <v>127</v>
      </c>
      <c r="D107" s="2" t="s">
        <v>128</v>
      </c>
      <c r="E107" s="2" t="s">
        <v>18</v>
      </c>
      <c r="F107" s="2" t="s">
        <v>75</v>
      </c>
      <c r="G107" s="2" t="s">
        <v>60</v>
      </c>
      <c r="H107" s="2">
        <v>6</v>
      </c>
      <c r="I107" s="4">
        <v>45000</v>
      </c>
      <c r="J107" s="5">
        <v>0.05</v>
      </c>
      <c r="K107" s="4">
        <v>256500</v>
      </c>
      <c r="L107" s="4">
        <v>198000</v>
      </c>
      <c r="M107" s="4">
        <v>58500</v>
      </c>
      <c r="N107" s="2" t="s">
        <v>33</v>
      </c>
      <c r="O107" s="2" t="s">
        <v>43</v>
      </c>
    </row>
    <row r="108" spans="1:15">
      <c r="A108" s="2" t="s">
        <v>190</v>
      </c>
      <c r="B108" s="3">
        <v>45987</v>
      </c>
      <c r="C108" s="2" t="s">
        <v>24</v>
      </c>
      <c r="D108" s="2" t="s">
        <v>25</v>
      </c>
      <c r="E108" s="2" t="s">
        <v>77</v>
      </c>
      <c r="F108" s="2" t="s">
        <v>69</v>
      </c>
      <c r="G108" s="2" t="s">
        <v>56</v>
      </c>
      <c r="H108" s="2">
        <v>1</v>
      </c>
      <c r="I108" s="4">
        <v>80</v>
      </c>
      <c r="J108" s="5">
        <v>0</v>
      </c>
      <c r="K108" s="4">
        <v>80</v>
      </c>
      <c r="L108" s="4">
        <v>35</v>
      </c>
      <c r="M108" s="4">
        <v>45</v>
      </c>
      <c r="N108" s="2" t="s">
        <v>33</v>
      </c>
      <c r="O108" s="2" t="s">
        <v>43</v>
      </c>
    </row>
    <row r="109" spans="1:15">
      <c r="A109" s="2" t="s">
        <v>191</v>
      </c>
      <c r="B109" s="3">
        <v>45990</v>
      </c>
      <c r="C109" s="2" t="s">
        <v>67</v>
      </c>
      <c r="D109" s="2" t="s">
        <v>68</v>
      </c>
      <c r="E109" s="2" t="s">
        <v>26</v>
      </c>
      <c r="F109" s="2" t="s">
        <v>75</v>
      </c>
      <c r="G109" s="2" t="s">
        <v>60</v>
      </c>
      <c r="H109" s="2">
        <v>6</v>
      </c>
      <c r="I109" s="4">
        <v>45000</v>
      </c>
      <c r="J109" s="5">
        <v>0.05</v>
      </c>
      <c r="K109" s="4">
        <v>256500</v>
      </c>
      <c r="L109" s="4">
        <v>198000</v>
      </c>
      <c r="M109" s="4">
        <v>58500</v>
      </c>
      <c r="N109" s="2" t="s">
        <v>65</v>
      </c>
      <c r="O109" s="2" t="s">
        <v>57</v>
      </c>
    </row>
    <row r="110" spans="1:15">
      <c r="A110" s="2" t="s">
        <v>192</v>
      </c>
      <c r="B110" s="3">
        <v>45993</v>
      </c>
      <c r="C110" s="2" t="s">
        <v>31</v>
      </c>
      <c r="D110" s="2" t="s">
        <v>32</v>
      </c>
      <c r="E110" s="2" t="s">
        <v>77</v>
      </c>
      <c r="F110" s="2" t="s">
        <v>73</v>
      </c>
      <c r="G110" s="2" t="s">
        <v>60</v>
      </c>
      <c r="H110" s="2">
        <v>6</v>
      </c>
      <c r="I110" s="4">
        <v>1800</v>
      </c>
      <c r="J110" s="5">
        <v>0.05</v>
      </c>
      <c r="K110" s="4">
        <v>10260</v>
      </c>
      <c r="L110" s="4">
        <v>5700</v>
      </c>
      <c r="M110" s="4">
        <v>4560</v>
      </c>
      <c r="N110" s="2" t="s">
        <v>38</v>
      </c>
      <c r="O110" s="2" t="s">
        <v>43</v>
      </c>
    </row>
    <row r="111" spans="1:15">
      <c r="A111" s="2" t="s">
        <v>193</v>
      </c>
      <c r="B111" s="3">
        <v>45993</v>
      </c>
      <c r="C111" s="2" t="s">
        <v>71</v>
      </c>
      <c r="D111" s="2" t="s">
        <v>72</v>
      </c>
      <c r="E111" s="2" t="s">
        <v>26</v>
      </c>
      <c r="F111" s="2" t="s">
        <v>69</v>
      </c>
      <c r="G111" s="2" t="s">
        <v>56</v>
      </c>
      <c r="H111" s="2">
        <v>4</v>
      </c>
      <c r="I111" s="4">
        <v>80</v>
      </c>
      <c r="J111" s="5">
        <v>0.05</v>
      </c>
      <c r="K111" s="4">
        <v>304</v>
      </c>
      <c r="L111" s="4">
        <v>140</v>
      </c>
      <c r="M111" s="4">
        <v>164</v>
      </c>
      <c r="N111" s="2" t="s">
        <v>65</v>
      </c>
      <c r="O111" s="2" t="s">
        <v>43</v>
      </c>
    </row>
    <row r="112" spans="1:15">
      <c r="A112" s="2" t="s">
        <v>194</v>
      </c>
      <c r="B112" s="3">
        <v>45995</v>
      </c>
      <c r="C112" s="2" t="s">
        <v>53</v>
      </c>
      <c r="D112" s="2" t="s">
        <v>54</v>
      </c>
      <c r="E112" s="2" t="s">
        <v>77</v>
      </c>
      <c r="F112" s="2" t="s">
        <v>73</v>
      </c>
      <c r="G112" s="2" t="s">
        <v>60</v>
      </c>
      <c r="H112" s="2">
        <v>2</v>
      </c>
      <c r="I112" s="4">
        <v>1800</v>
      </c>
      <c r="J112" s="5">
        <v>0</v>
      </c>
      <c r="K112" s="4">
        <v>3600</v>
      </c>
      <c r="L112" s="4">
        <v>1900</v>
      </c>
      <c r="M112" s="4">
        <v>1700</v>
      </c>
      <c r="N112" s="2" t="s">
        <v>21</v>
      </c>
      <c r="O112" s="2" t="s">
        <v>43</v>
      </c>
    </row>
    <row r="113" spans="1:15">
      <c r="A113" s="2" t="s">
        <v>195</v>
      </c>
      <c r="B113" s="3">
        <v>45996</v>
      </c>
      <c r="C113" s="2" t="s">
        <v>109</v>
      </c>
      <c r="D113" s="2" t="s">
        <v>110</v>
      </c>
      <c r="E113" s="2" t="s">
        <v>77</v>
      </c>
      <c r="F113" s="2" t="s">
        <v>19</v>
      </c>
      <c r="G113" s="2" t="s">
        <v>20</v>
      </c>
      <c r="H113" s="2">
        <v>7</v>
      </c>
      <c r="I113" s="4">
        <v>5500</v>
      </c>
      <c r="J113" s="5">
        <v>0.2</v>
      </c>
      <c r="K113" s="4">
        <v>30800</v>
      </c>
      <c r="L113" s="4">
        <v>25200</v>
      </c>
      <c r="M113" s="4">
        <v>5600</v>
      </c>
      <c r="N113" s="2" t="s">
        <v>33</v>
      </c>
      <c r="O113" s="2" t="s">
        <v>22</v>
      </c>
    </row>
    <row r="114" spans="1:15">
      <c r="A114" s="2" t="s">
        <v>196</v>
      </c>
      <c r="B114" s="3">
        <v>45999</v>
      </c>
      <c r="C114" s="2" t="s">
        <v>127</v>
      </c>
      <c r="D114" s="2" t="s">
        <v>128</v>
      </c>
      <c r="E114" s="2" t="s">
        <v>26</v>
      </c>
      <c r="F114" s="2" t="s">
        <v>37</v>
      </c>
      <c r="G114" s="2" t="s">
        <v>20</v>
      </c>
      <c r="H114" s="2">
        <v>4</v>
      </c>
      <c r="I114" s="4">
        <v>8500</v>
      </c>
      <c r="J114" s="5">
        <v>0.05</v>
      </c>
      <c r="K114" s="4">
        <v>32300</v>
      </c>
      <c r="L114" s="4">
        <v>24000</v>
      </c>
      <c r="M114" s="4">
        <v>8300</v>
      </c>
      <c r="N114" s="2" t="s">
        <v>21</v>
      </c>
      <c r="O114" s="2" t="s">
        <v>48</v>
      </c>
    </row>
    <row r="115" spans="1:15">
      <c r="A115" s="2" t="s">
        <v>197</v>
      </c>
      <c r="B115" s="3">
        <v>46000</v>
      </c>
      <c r="C115" s="2" t="s">
        <v>45</v>
      </c>
      <c r="D115" s="2" t="s">
        <v>46</v>
      </c>
      <c r="E115" s="2" t="s">
        <v>18</v>
      </c>
      <c r="F115" s="2" t="s">
        <v>37</v>
      </c>
      <c r="G115" s="2" t="s">
        <v>20</v>
      </c>
      <c r="H115" s="2">
        <v>5</v>
      </c>
      <c r="I115" s="4">
        <v>8500</v>
      </c>
      <c r="J115" s="5">
        <v>0.05</v>
      </c>
      <c r="K115" s="4">
        <v>40375</v>
      </c>
      <c r="L115" s="4">
        <v>30000</v>
      </c>
      <c r="M115" s="4">
        <v>10375</v>
      </c>
      <c r="N115" s="2" t="s">
        <v>33</v>
      </c>
      <c r="O115" s="2" t="s">
        <v>29</v>
      </c>
    </row>
    <row r="116" spans="1:15">
      <c r="A116" s="2" t="s">
        <v>198</v>
      </c>
      <c r="B116" s="3">
        <v>46010</v>
      </c>
      <c r="C116" s="2" t="s">
        <v>121</v>
      </c>
      <c r="D116" s="2" t="s">
        <v>122</v>
      </c>
      <c r="E116" s="2" t="s">
        <v>18</v>
      </c>
      <c r="F116" s="2" t="s">
        <v>55</v>
      </c>
      <c r="G116" s="2" t="s">
        <v>56</v>
      </c>
      <c r="H116" s="2">
        <v>2</v>
      </c>
      <c r="I116" s="4">
        <v>120</v>
      </c>
      <c r="J116" s="5">
        <v>0.15</v>
      </c>
      <c r="K116" s="4">
        <v>204</v>
      </c>
      <c r="L116" s="4">
        <v>110</v>
      </c>
      <c r="M116" s="4">
        <v>94</v>
      </c>
      <c r="N116" s="2" t="s">
        <v>38</v>
      </c>
      <c r="O116" s="2" t="s">
        <v>29</v>
      </c>
    </row>
    <row r="117" spans="1:15">
      <c r="A117" s="2" t="s">
        <v>199</v>
      </c>
      <c r="B117" s="3">
        <v>46011</v>
      </c>
      <c r="C117" s="2" t="s">
        <v>136</v>
      </c>
      <c r="D117" s="2" t="s">
        <v>137</v>
      </c>
      <c r="E117" s="2" t="s">
        <v>47</v>
      </c>
      <c r="F117" s="2" t="s">
        <v>69</v>
      </c>
      <c r="G117" s="2" t="s">
        <v>56</v>
      </c>
      <c r="H117" s="2">
        <v>4</v>
      </c>
      <c r="I117" s="4">
        <v>80</v>
      </c>
      <c r="J117" s="5">
        <v>0.2</v>
      </c>
      <c r="K117" s="4">
        <v>256</v>
      </c>
      <c r="L117" s="4">
        <v>140</v>
      </c>
      <c r="M117" s="4">
        <v>116</v>
      </c>
      <c r="N117" s="2" t="s">
        <v>21</v>
      </c>
      <c r="O117" s="2" t="s">
        <v>43</v>
      </c>
    </row>
    <row r="118" spans="1:15">
      <c r="A118" s="2" t="s">
        <v>200</v>
      </c>
      <c r="B118" s="3">
        <v>46016</v>
      </c>
      <c r="C118" s="2" t="s">
        <v>40</v>
      </c>
      <c r="D118" s="2" t="s">
        <v>41</v>
      </c>
      <c r="E118" s="2" t="s">
        <v>18</v>
      </c>
      <c r="F118" s="2" t="s">
        <v>27</v>
      </c>
      <c r="G118" s="2" t="s">
        <v>28</v>
      </c>
      <c r="H118" s="2">
        <v>4</v>
      </c>
      <c r="I118" s="4">
        <v>350</v>
      </c>
      <c r="J118" s="5">
        <v>0.15</v>
      </c>
      <c r="K118" s="4">
        <v>1190</v>
      </c>
      <c r="L118" s="4">
        <v>560</v>
      </c>
      <c r="M118" s="4">
        <v>630</v>
      </c>
      <c r="N118" s="2" t="s">
        <v>21</v>
      </c>
      <c r="O118" s="2" t="s">
        <v>22</v>
      </c>
    </row>
    <row r="119" spans="1:15">
      <c r="A119" s="2" t="s">
        <v>201</v>
      </c>
      <c r="B119" s="3">
        <v>46017</v>
      </c>
      <c r="C119" s="2" t="s">
        <v>97</v>
      </c>
      <c r="D119" s="2" t="s">
        <v>98</v>
      </c>
      <c r="E119" s="2" t="s">
        <v>18</v>
      </c>
      <c r="F119" s="2" t="s">
        <v>37</v>
      </c>
      <c r="G119" s="2" t="s">
        <v>20</v>
      </c>
      <c r="H119" s="2">
        <v>5</v>
      </c>
      <c r="I119" s="4">
        <v>8500</v>
      </c>
      <c r="J119" s="5">
        <v>0.2</v>
      </c>
      <c r="K119" s="4">
        <v>34000</v>
      </c>
      <c r="L119" s="4">
        <v>30000</v>
      </c>
      <c r="M119" s="4">
        <v>4000</v>
      </c>
      <c r="N119" s="2" t="s">
        <v>42</v>
      </c>
      <c r="O119" s="2" t="s">
        <v>57</v>
      </c>
    </row>
    <row r="120" spans="1:15">
      <c r="A120" s="2" t="s">
        <v>202</v>
      </c>
      <c r="B120" s="3">
        <v>46017</v>
      </c>
      <c r="C120" s="2" t="s">
        <v>127</v>
      </c>
      <c r="D120" s="2" t="s">
        <v>128</v>
      </c>
      <c r="E120" s="2" t="s">
        <v>77</v>
      </c>
      <c r="F120" s="2" t="s">
        <v>73</v>
      </c>
      <c r="G120" s="2" t="s">
        <v>60</v>
      </c>
      <c r="H120" s="2">
        <v>5</v>
      </c>
      <c r="I120" s="4">
        <v>1800</v>
      </c>
      <c r="J120" s="5">
        <v>0.1</v>
      </c>
      <c r="K120" s="4">
        <v>8100</v>
      </c>
      <c r="L120" s="4">
        <v>4750</v>
      </c>
      <c r="M120" s="4">
        <v>3350</v>
      </c>
      <c r="N120" s="2" t="s">
        <v>65</v>
      </c>
      <c r="O120" s="2" t="s">
        <v>22</v>
      </c>
    </row>
  </sheetData>
  <conditionalFormatting sqref="M2:M120">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4153-3A6F-4015-A4D9-FB32F5F4AC16}">
  <dimension ref="A1:C10"/>
  <sheetViews>
    <sheetView workbookViewId="0">
      <selection activeCell="E10" sqref="E10"/>
    </sheetView>
  </sheetViews>
  <sheetFormatPr defaultRowHeight="14.25"/>
  <cols>
    <col min="1" max="1" width="33.53125" customWidth="1"/>
  </cols>
  <sheetData>
    <row r="1" spans="1:3" ht="25.5">
      <c r="A1" s="32" t="s">
        <v>242</v>
      </c>
      <c r="B1" s="33"/>
      <c r="C1" s="33"/>
    </row>
    <row r="2" spans="1:3" ht="25.5">
      <c r="A2" s="31" t="s">
        <v>243</v>
      </c>
    </row>
    <row r="3" spans="1:3" ht="25.5">
      <c r="A3" s="31" t="s">
        <v>244</v>
      </c>
    </row>
    <row r="4" spans="1:3" ht="25.5">
      <c r="A4" s="31" t="s">
        <v>245</v>
      </c>
    </row>
    <row r="5" spans="1:3" ht="25.5">
      <c r="A5" s="31" t="s">
        <v>246</v>
      </c>
    </row>
    <row r="6" spans="1:3" ht="25.5">
      <c r="A6" s="31" t="s">
        <v>247</v>
      </c>
    </row>
    <row r="7" spans="1:3" ht="25.5">
      <c r="A7" s="31" t="s">
        <v>248</v>
      </c>
    </row>
    <row r="8" spans="1:3" ht="25.5">
      <c r="A8" s="31" t="s">
        <v>249</v>
      </c>
    </row>
    <row r="9" spans="1:3" ht="25.5">
      <c r="A9" s="31" t="s">
        <v>250</v>
      </c>
    </row>
    <row r="10" spans="1:3" ht="25.5">
      <c r="A10" s="31" t="s">
        <v>251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D14D-873A-4CC2-932B-F93808CCE93A}">
  <dimension ref="A1:E16"/>
  <sheetViews>
    <sheetView workbookViewId="0">
      <selection activeCell="G6" sqref="G6"/>
    </sheetView>
  </sheetViews>
  <sheetFormatPr defaultRowHeight="14.25"/>
  <sheetData>
    <row r="1" spans="1:5" ht="25.5">
      <c r="A1" s="34" t="s">
        <v>252</v>
      </c>
      <c r="B1" s="34"/>
    </row>
    <row r="2" spans="1:5">
      <c r="A2" s="7"/>
    </row>
    <row r="3" spans="1:5" ht="21">
      <c r="A3" s="35" t="s">
        <v>253</v>
      </c>
      <c r="B3" s="36"/>
      <c r="C3" s="36"/>
      <c r="D3" s="36"/>
      <c r="E3" s="37"/>
    </row>
    <row r="4" spans="1:5" ht="21">
      <c r="A4" s="38"/>
      <c r="B4" s="39"/>
      <c r="C4" s="39"/>
      <c r="D4" s="39"/>
      <c r="E4" s="40"/>
    </row>
    <row r="5" spans="1:5" ht="21">
      <c r="A5" s="38" t="s">
        <v>254</v>
      </c>
      <c r="B5" s="39"/>
      <c r="C5" s="39"/>
      <c r="D5" s="39"/>
      <c r="E5" s="40"/>
    </row>
    <row r="6" spans="1:5" ht="21">
      <c r="A6" s="38"/>
      <c r="B6" s="39"/>
      <c r="C6" s="39"/>
      <c r="D6" s="39"/>
      <c r="E6" s="40"/>
    </row>
    <row r="7" spans="1:5" ht="21">
      <c r="A7" s="38" t="s">
        <v>255</v>
      </c>
      <c r="B7" s="39"/>
      <c r="C7" s="39"/>
      <c r="D7" s="39"/>
      <c r="E7" s="40"/>
    </row>
    <row r="8" spans="1:5" ht="21">
      <c r="A8" s="38"/>
      <c r="B8" s="39"/>
      <c r="C8" s="39"/>
      <c r="D8" s="39"/>
      <c r="E8" s="40"/>
    </row>
    <row r="9" spans="1:5" ht="21">
      <c r="A9" s="38" t="s">
        <v>256</v>
      </c>
      <c r="B9" s="39"/>
      <c r="C9" s="39"/>
      <c r="D9" s="39"/>
      <c r="E9" s="40"/>
    </row>
    <row r="10" spans="1:5" ht="21">
      <c r="A10" s="38"/>
      <c r="B10" s="39"/>
      <c r="C10" s="39"/>
      <c r="D10" s="39"/>
      <c r="E10" s="40"/>
    </row>
    <row r="11" spans="1:5" ht="21">
      <c r="A11" s="38" t="s">
        <v>257</v>
      </c>
      <c r="B11" s="39"/>
      <c r="C11" s="39"/>
      <c r="D11" s="39"/>
      <c r="E11" s="40"/>
    </row>
    <row r="12" spans="1:5" ht="21">
      <c r="A12" s="38"/>
      <c r="B12" s="39"/>
      <c r="C12" s="39"/>
      <c r="D12" s="39"/>
      <c r="E12" s="40"/>
    </row>
    <row r="13" spans="1:5" ht="21">
      <c r="A13" s="38" t="s">
        <v>258</v>
      </c>
      <c r="B13" s="39"/>
      <c r="C13" s="39"/>
      <c r="D13" s="39"/>
      <c r="E13" s="40"/>
    </row>
    <row r="14" spans="1:5" ht="21">
      <c r="A14" s="38"/>
      <c r="B14" s="39"/>
      <c r="C14" s="39"/>
      <c r="D14" s="39"/>
      <c r="E14" s="40"/>
    </row>
    <row r="15" spans="1:5" ht="21">
      <c r="A15" s="38" t="s">
        <v>259</v>
      </c>
      <c r="B15" s="39"/>
      <c r="C15" s="39"/>
      <c r="D15" s="39"/>
      <c r="E15" s="40"/>
    </row>
    <row r="16" spans="1:5" ht="21">
      <c r="A16" s="41" t="s">
        <v>260</v>
      </c>
      <c r="B16" s="42"/>
      <c r="C16" s="42"/>
      <c r="D16" s="42"/>
      <c r="E1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1157-D198-421B-BF98-849974C9B17B}">
  <dimension ref="A1:D11"/>
  <sheetViews>
    <sheetView workbookViewId="0">
      <selection sqref="A1:C10"/>
    </sheetView>
  </sheetViews>
  <sheetFormatPr defaultRowHeight="14.25"/>
  <cols>
    <col min="3" max="3" width="13.59765625" customWidth="1"/>
  </cols>
  <sheetData>
    <row r="1" spans="1:4" ht="25.5">
      <c r="A1" s="30" t="s">
        <v>261</v>
      </c>
      <c r="B1" s="30"/>
      <c r="C1" s="30"/>
      <c r="D1" s="12"/>
    </row>
    <row r="2" spans="1:4" ht="15">
      <c r="A2" s="23" t="s">
        <v>262</v>
      </c>
      <c r="B2" s="23"/>
      <c r="C2" s="23"/>
    </row>
    <row r="3" spans="1:4" ht="15">
      <c r="A3" s="23" t="s">
        <v>263</v>
      </c>
      <c r="B3" s="23"/>
      <c r="C3" s="23"/>
    </row>
    <row r="4" spans="1:4" ht="15">
      <c r="A4" s="23" t="s">
        <v>264</v>
      </c>
      <c r="B4" s="23"/>
      <c r="C4" s="23"/>
    </row>
    <row r="5" spans="1:4" ht="15">
      <c r="A5" s="23" t="s">
        <v>265</v>
      </c>
      <c r="B5" s="23"/>
      <c r="C5" s="23"/>
    </row>
    <row r="6" spans="1:4" ht="15">
      <c r="A6" s="23" t="s">
        <v>266</v>
      </c>
      <c r="B6" s="23"/>
      <c r="C6" s="23"/>
    </row>
    <row r="7" spans="1:4" ht="15">
      <c r="A7" s="23" t="s">
        <v>267</v>
      </c>
      <c r="B7" s="23"/>
      <c r="C7" s="23"/>
    </row>
    <row r="8" spans="1:4" ht="15">
      <c r="A8" s="23" t="s">
        <v>268</v>
      </c>
      <c r="B8" s="23"/>
      <c r="C8" s="23"/>
    </row>
    <row r="9" spans="1:4" ht="15">
      <c r="A9" s="23" t="s">
        <v>269</v>
      </c>
      <c r="B9" s="23"/>
      <c r="C9" s="23"/>
    </row>
    <row r="10" spans="1:4" ht="15">
      <c r="A10" s="23" t="s">
        <v>251</v>
      </c>
      <c r="B10" s="23"/>
      <c r="C10" s="23"/>
    </row>
    <row r="11" spans="1:4" ht="15">
      <c r="A11" s="23"/>
      <c r="B11" s="23"/>
      <c r="C11"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E645-1DC5-4ED7-905F-CF981ADC4CC3}">
  <dimension ref="A1:D13"/>
  <sheetViews>
    <sheetView tabSelected="1" workbookViewId="0">
      <selection sqref="A1:D13"/>
    </sheetView>
  </sheetViews>
  <sheetFormatPr defaultRowHeight="14.25"/>
  <sheetData>
    <row r="1" spans="1:4" ht="28.5">
      <c r="A1" s="44" t="s">
        <v>270</v>
      </c>
      <c r="B1" s="44"/>
      <c r="C1" s="44"/>
      <c r="D1" s="45"/>
    </row>
    <row r="2" spans="1:4" ht="15">
      <c r="A2" s="46" t="s">
        <v>271</v>
      </c>
      <c r="B2" s="46"/>
      <c r="C2" s="46"/>
      <c r="D2" s="45"/>
    </row>
    <row r="3" spans="1:4" ht="15">
      <c r="A3" s="46" t="s">
        <v>232</v>
      </c>
      <c r="B3" s="46"/>
      <c r="C3" s="46"/>
      <c r="D3" s="45"/>
    </row>
    <row r="4" spans="1:4" ht="15">
      <c r="A4" s="46" t="s">
        <v>272</v>
      </c>
      <c r="B4" s="46"/>
      <c r="C4" s="46"/>
      <c r="D4" s="45"/>
    </row>
    <row r="5" spans="1:4" ht="15">
      <c r="A5" s="46" t="s">
        <v>273</v>
      </c>
      <c r="B5" s="46"/>
      <c r="C5" s="46"/>
      <c r="D5" s="45"/>
    </row>
    <row r="6" spans="1:4" ht="15">
      <c r="A6" s="46" t="s">
        <v>274</v>
      </c>
      <c r="B6" s="46"/>
      <c r="C6" s="46"/>
      <c r="D6" s="45"/>
    </row>
    <row r="7" spans="1:4" ht="15">
      <c r="A7" s="46" t="s">
        <v>275</v>
      </c>
      <c r="B7" s="46"/>
      <c r="C7" s="46"/>
      <c r="D7" s="45"/>
    </row>
    <row r="8" spans="1:4" ht="15">
      <c r="A8" s="46" t="s">
        <v>276</v>
      </c>
      <c r="B8" s="46"/>
      <c r="C8" s="46"/>
      <c r="D8" s="45"/>
    </row>
    <row r="9" spans="1:4" ht="15">
      <c r="A9" s="46" t="s">
        <v>277</v>
      </c>
      <c r="B9" s="46"/>
      <c r="C9" s="46"/>
      <c r="D9" s="45"/>
    </row>
    <row r="10" spans="1:4" ht="15">
      <c r="A10" s="46" t="s">
        <v>278</v>
      </c>
      <c r="B10" s="46"/>
      <c r="C10" s="46"/>
      <c r="D10" s="45"/>
    </row>
    <row r="11" spans="1:4" ht="15">
      <c r="A11" s="46" t="s">
        <v>279</v>
      </c>
      <c r="B11" s="46"/>
      <c r="C11" s="46"/>
      <c r="D11" s="45"/>
    </row>
    <row r="12" spans="1:4" ht="15">
      <c r="A12" s="46"/>
      <c r="B12" s="46"/>
      <c r="C12" s="46"/>
      <c r="D12" s="45"/>
    </row>
    <row r="13" spans="1:4">
      <c r="A13" s="45"/>
      <c r="B13" s="45"/>
      <c r="C13" s="45"/>
      <c r="D13"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Tables</vt:lpstr>
      <vt:lpstr>Sales by Region</vt:lpstr>
      <vt:lpstr>Customer Lookup</vt:lpstr>
      <vt:lpstr>Dashboard</vt:lpstr>
      <vt:lpstr>Documentation</vt:lpstr>
      <vt:lpstr>Sales Summary</vt:lpstr>
      <vt:lpstr>Cleaned Data</vt:lpstr>
      <vt:lpstr>Sales Analysis</vt:lpstr>
      <vt:lpstr>Recommendations</vt:lpstr>
      <vt:lpstr>Project Conclusion</vt:lpstr>
      <vt:lpstr>Project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Jodhani</dc:creator>
  <cp:lastModifiedBy>Rahul Jodhani</cp:lastModifiedBy>
  <cp:lastPrinted>2026-10-16T02:40:03Z</cp:lastPrinted>
  <dcterms:created xsi:type="dcterms:W3CDTF">2026-10-15T13:22:28Z</dcterms:created>
  <dcterms:modified xsi:type="dcterms:W3CDTF">2026-10-16T07:58:38Z</dcterms:modified>
</cp:coreProperties>
</file>